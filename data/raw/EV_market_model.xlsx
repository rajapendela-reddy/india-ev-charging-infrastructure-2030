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ian ev charger analysis\data\raw\vahan_ev_data\"/>
    </mc:Choice>
  </mc:AlternateContent>
  <xr:revisionPtr revIDLastSave="0" documentId="13_ncr:1_{0220E51D-AB40-473B-A9F3-09B5A8988968}" xr6:coauthVersionLast="47" xr6:coauthVersionMax="47" xr10:uidLastSave="{00000000-0000-0000-0000-000000000000}"/>
  <bookViews>
    <workbookView xWindow="-108" yWindow="-108" windowWidth="23256" windowHeight="12456" firstSheet="2" activeTab="6" xr2:uid="{1E30F50E-FAB1-44A7-9A43-8A9CFA1BDF17}"/>
  </bookViews>
  <sheets>
    <sheet name="EV_Registrations" sheetId="1" r:id="rId1"/>
    <sheet name="SIAM_Total_Sales" sheetId="2" r:id="rId2"/>
    <sheet name="ev_segment_data" sheetId="6" r:id="rId3"/>
    <sheet name="Charging_Stations" sheetId="3" r:id="rId4"/>
    <sheet name="Opportunity_model" sheetId="7" r:id="rId5"/>
    <sheet name="capex_model" sheetId="8" r:id="rId6"/>
    <sheet name="revenue_model" sheetId="9" r:id="rId7"/>
    <sheet name="Clean_Data" sheetId="4" r:id="rId8"/>
    <sheet name="Historical_Analysis" sheetId="5" r:id="rId9"/>
  </sheets>
  <definedNames>
    <definedName name="_xlnm._FilterDatabase" localSheetId="0" hidden="1">EV_Registrations!$T$25:$T$58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9" l="1"/>
  <c r="H9" i="9"/>
  <c r="H10" i="9"/>
  <c r="H11" i="9"/>
  <c r="H12" i="9"/>
  <c r="G8" i="9"/>
  <c r="G9" i="9"/>
  <c r="G10" i="9"/>
  <c r="G11" i="9"/>
  <c r="G12" i="9"/>
  <c r="H7" i="9"/>
  <c r="G7" i="9"/>
  <c r="K3" i="7"/>
  <c r="D58" i="3"/>
  <c r="J2" i="7" s="1"/>
  <c r="K2" i="7" s="1"/>
  <c r="L2" i="7" s="1"/>
  <c r="L3" i="7"/>
  <c r="J4" i="7"/>
  <c r="K4" i="7" s="1"/>
  <c r="L4" i="7" s="1"/>
  <c r="J3" i="7"/>
  <c r="F4" i="7"/>
  <c r="F3" i="7"/>
  <c r="F2" i="7"/>
  <c r="G2" i="7" s="1"/>
  <c r="H2" i="7" s="1"/>
  <c r="D3" i="7"/>
  <c r="D4" i="7"/>
  <c r="C4" i="7"/>
  <c r="C3" i="7"/>
  <c r="C2" i="7"/>
  <c r="B4" i="7"/>
  <c r="G4" i="7" s="1"/>
  <c r="H4" i="7" s="1"/>
  <c r="B3" i="7"/>
  <c r="G3" i="7" s="1"/>
  <c r="H3" i="7" s="1"/>
  <c r="B2" i="7"/>
  <c r="D2" i="7" s="1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43" i="3"/>
  <c r="D44" i="3"/>
  <c r="D45" i="3"/>
  <c r="D46" i="3"/>
  <c r="D47" i="3"/>
  <c r="D48" i="3"/>
  <c r="D49" i="3"/>
  <c r="D51" i="3"/>
  <c r="D52" i="3"/>
  <c r="D53" i="3"/>
  <c r="D54" i="3"/>
  <c r="D55" i="3"/>
  <c r="D56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43" i="3"/>
  <c r="D28" i="3"/>
  <c r="G16" i="3"/>
  <c r="G34" i="3"/>
  <c r="G4" i="3"/>
  <c r="G3" i="3"/>
  <c r="G2" i="3"/>
  <c r="G7" i="3"/>
  <c r="G37" i="3"/>
  <c r="G20" i="3"/>
  <c r="G19" i="3"/>
  <c r="G14" i="3"/>
  <c r="G24" i="3"/>
  <c r="G31" i="3"/>
  <c r="G17" i="3"/>
  <c r="G11" i="3"/>
  <c r="G26" i="3"/>
  <c r="G18" i="3"/>
  <c r="G29" i="3"/>
  <c r="G25" i="3"/>
  <c r="G10" i="3"/>
  <c r="G23" i="3"/>
  <c r="G32" i="3"/>
  <c r="G33" i="3"/>
  <c r="G27" i="3"/>
  <c r="G35" i="3"/>
  <c r="G9" i="3"/>
  <c r="G12" i="3"/>
  <c r="G21" i="3"/>
  <c r="G13" i="3"/>
  <c r="G36" i="3"/>
  <c r="G15" i="3"/>
  <c r="G30" i="3"/>
  <c r="G6" i="3"/>
  <c r="G5" i="3"/>
  <c r="G8" i="3"/>
  <c r="G22" i="3"/>
  <c r="G28" i="3"/>
  <c r="D16" i="3"/>
  <c r="D34" i="3"/>
  <c r="D4" i="3"/>
  <c r="D3" i="3"/>
  <c r="D2" i="3"/>
  <c r="D7" i="3"/>
  <c r="D20" i="3"/>
  <c r="D19" i="3"/>
  <c r="D14" i="3"/>
  <c r="D24" i="3"/>
  <c r="D31" i="3"/>
  <c r="D17" i="3"/>
  <c r="D11" i="3"/>
  <c r="D26" i="3"/>
  <c r="D18" i="3"/>
  <c r="D29" i="3"/>
  <c r="D25" i="3"/>
  <c r="D10" i="3"/>
  <c r="D23" i="3"/>
  <c r="D32" i="3"/>
  <c r="D33" i="3"/>
  <c r="D27" i="3"/>
  <c r="D35" i="3"/>
  <c r="D9" i="3"/>
  <c r="D12" i="3"/>
  <c r="D21" i="3"/>
  <c r="D13" i="3"/>
  <c r="D36" i="3"/>
  <c r="D15" i="3"/>
  <c r="D30" i="3"/>
  <c r="D6" i="3"/>
  <c r="D5" i="3"/>
  <c r="D8" i="3"/>
  <c r="D22" i="3"/>
  <c r="D36" i="6"/>
  <c r="D35" i="6"/>
  <c r="D34" i="6"/>
  <c r="D33" i="6"/>
  <c r="C33" i="6"/>
  <c r="C34" i="6"/>
  <c r="C35" i="6"/>
  <c r="C36" i="6"/>
  <c r="B36" i="6"/>
  <c r="B35" i="6"/>
  <c r="B34" i="6"/>
  <c r="B3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F3" i="2"/>
  <c r="F4" i="2"/>
  <c r="F5" i="2"/>
  <c r="F6" i="2"/>
  <c r="F7" i="2"/>
  <c r="F2" i="2"/>
  <c r="G18" i="5"/>
  <c r="G17" i="5"/>
  <c r="G16" i="5"/>
  <c r="G15" i="5"/>
  <c r="G14" i="5"/>
  <c r="G13" i="5"/>
  <c r="G12" i="5"/>
  <c r="G11" i="5"/>
  <c r="G10" i="5"/>
  <c r="G9" i="5"/>
  <c r="F18" i="5"/>
  <c r="F17" i="5"/>
  <c r="F16" i="5"/>
  <c r="F15" i="5"/>
  <c r="F14" i="5"/>
  <c r="F13" i="5"/>
  <c r="F12" i="5"/>
  <c r="F11" i="5"/>
  <c r="F10" i="5"/>
  <c r="F9" i="5"/>
  <c r="C3" i="5"/>
  <c r="C4" i="5"/>
  <c r="C5" i="5"/>
  <c r="B5" i="5"/>
  <c r="B4" i="5"/>
  <c r="B3" i="5"/>
  <c r="B2" i="5"/>
  <c r="F47" i="1"/>
  <c r="F48" i="1"/>
  <c r="F49" i="1"/>
  <c r="F50" i="1"/>
  <c r="F51" i="1"/>
  <c r="F52" i="1"/>
  <c r="F53" i="1"/>
  <c r="F54" i="1"/>
  <c r="F55" i="1"/>
  <c r="F56" i="1"/>
  <c r="F57" i="1"/>
  <c r="F58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6" i="1"/>
  <c r="C59" i="1"/>
  <c r="D59" i="1"/>
  <c r="E59" i="1"/>
  <c r="B59" i="1"/>
  <c r="F59" i="1" l="1"/>
</calcChain>
</file>

<file path=xl/sharedStrings.xml><?xml version="1.0" encoding="utf-8"?>
<sst xmlns="http://schemas.openxmlformats.org/spreadsheetml/2006/main" count="417" uniqueCount="148">
  <si>
    <t>State</t>
  </si>
  <si>
    <t>Andhra Pradesh</t>
  </si>
  <si>
    <t>Assam</t>
  </si>
  <si>
    <t>Bihar</t>
  </si>
  <si>
    <t>Delhi</t>
  </si>
  <si>
    <t>Gujarat</t>
  </si>
  <si>
    <t>EV SEGMENT SALES</t>
  </si>
  <si>
    <t>Financial year</t>
  </si>
  <si>
    <t>e-2w</t>
  </si>
  <si>
    <t>e-3W e-rickshaw/e-cart</t>
  </si>
  <si>
    <t>e-3W L5</t>
  </si>
  <si>
    <t>e-trucks</t>
  </si>
  <si>
    <t>Total</t>
  </si>
  <si>
    <t>Passenger Vehicles</t>
  </si>
  <si>
    <t>Commercial Vehicles</t>
  </si>
  <si>
    <t>Three Wheelers</t>
  </si>
  <si>
    <t>Two Wheelers</t>
  </si>
  <si>
    <t>ev penetration</t>
  </si>
  <si>
    <t>EV 2W sales</t>
  </si>
  <si>
    <t>────────────── × 100</t>
  </si>
  <si>
    <t>Total 2W sales</t>
  </si>
  <si>
    <t>2023_YTD</t>
  </si>
  <si>
    <t>Grand_Total</t>
  </si>
  <si>
    <t>Andaman &amp; Nicobar Islands</t>
  </si>
  <si>
    <t>Arunachal Pradesh</t>
  </si>
  <si>
    <t>Chandigarh</t>
  </si>
  <si>
    <t>Chhattisgarh</t>
  </si>
  <si>
    <t>Goa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</si>
  <si>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</si>
  <si>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</si>
  <si>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</si>
  <si>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</si>
  <si>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</si>
  <si>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</si>
  <si>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</si>
  <si>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</si>
  <si>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</si>
  <si>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</si>
  <si>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</si>
  <si>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</si>
  <si>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</si>
  <si>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</si>
  <si>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</si>
  <si>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</si>
  <si>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</si>
  <si>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Tamil Nadu</t>
  </si>
  <si>
    <t>Tripura</t>
  </si>
  <si>
    <t>UT of DNH and DD</t>
  </si>
  <si>
    <t>Uttar Pradesh</t>
  </si>
  <si>
    <t>Uttarakhand</t>
  </si>
  <si>
    <t>West Bengal</t>
  </si>
  <si>
    <t>Grand Total</t>
  </si>
  <si>
    <t>because year didn't complete</t>
  </si>
  <si>
    <t>Year</t>
  </si>
  <si>
    <t>EV Registrations</t>
  </si>
  <si>
    <t>YoY Growth</t>
  </si>
  <si>
    <t>2023ytd</t>
  </si>
  <si>
    <t>top 10 states with more ev sales</t>
  </si>
  <si>
    <t>market share</t>
  </si>
  <si>
    <t>That's a very useful finding for our eventual charging-infrastructure project.</t>
  </si>
  <si>
    <t>Top 5 combined:≈ 52.9%</t>
  </si>
  <si>
    <t>So roughly half of the EV registrations in this dataset are concentrated in just five states.</t>
  </si>
  <si>
    <t>FY2020-21</t>
  </si>
  <si>
    <t>FY2021-22</t>
  </si>
  <si>
    <t>FY2022-23</t>
  </si>
  <si>
    <t>FY2023-24</t>
  </si>
  <si>
    <t>FY2024-25</t>
  </si>
  <si>
    <t>FY2025-26</t>
  </si>
  <si>
    <t>Financial Year</t>
  </si>
  <si>
    <t>Source</t>
  </si>
  <si>
    <t>SIAM – Automobile Domestic Sales Trends</t>
  </si>
  <si>
    <t>Data Type</t>
  </si>
  <si>
    <t>Domestic Sales</t>
  </si>
  <si>
    <t>Vehicle Segment</t>
  </si>
  <si>
    <t>Total Vehicles</t>
  </si>
  <si>
    <t>EV Vehicles</t>
  </si>
  <si>
    <t>EV Penetration</t>
  </si>
  <si>
    <t>Two Wheeler</t>
  </si>
  <si>
    <t>MHI / Vahan4</t>
  </si>
  <si>
    <t>Registrations</t>
  </si>
  <si>
    <t>Three Wheeler</t>
  </si>
  <si>
    <t>Four Wheeler</t>
  </si>
  <si>
    <t>Goods Vehicles</t>
  </si>
  <si>
    <t>Public Service Vehicle</t>
  </si>
  <si>
    <t>e-2W</t>
  </si>
  <si>
    <t>2W EV Penetration</t>
  </si>
  <si>
    <t>3W EV Penetration</t>
  </si>
  <si>
    <t>4W EV Penetration</t>
  </si>
  <si>
    <t>2023 YTD</t>
  </si>
  <si>
    <t>EVs</t>
  </si>
  <si>
    <t>Operational Public Charging Infrastructure</t>
  </si>
  <si>
    <t>EVs per Charging Infrastructure</t>
  </si>
  <si>
    <t>BEE / EV Yatra</t>
  </si>
  <si>
    <t>Dadra &amp; Nagar Haveli and Daman &amp; Diu</t>
  </si>
  <si>
    <t>Lakshadweep</t>
  </si>
  <si>
    <t>Sikkim</t>
  </si>
  <si>
    <t>Telangana</t>
  </si>
  <si>
    <t>data year</t>
  </si>
  <si>
    <t>infrastructure for 1000 evs</t>
  </si>
  <si>
    <t>We can't take that chandigarh as our 1st priority even it has more EVs per station but the total no of EVs are less as per investors perspective its shows a large gap</t>
  </si>
  <si>
    <t>INFRASTRUCTURE PRESSURE</t>
  </si>
  <si>
    <t>MARKET SIZE CATEGORY</t>
  </si>
  <si>
    <t>Current Infrastructure</t>
  </si>
  <si>
    <t>Current EV/Infrastructure</t>
  </si>
  <si>
    <t>Benchmark State</t>
  </si>
  <si>
    <t>Benchmark EV/Infrastructure</t>
  </si>
  <si>
    <t>Required Infrastructure</t>
  </si>
  <si>
    <t>Infrastructure Gap</t>
  </si>
  <si>
    <t>Guesstimate 1</t>
  </si>
  <si>
    <t>How many additional charging stations could be required?</t>
  </si>
  <si>
    <t>Guesstimate 2</t>
  </si>
  <si>
    <t>What would it cost to build them?</t>
  </si>
  <si>
    <t>Guesstimate 3</t>
  </si>
  <si>
    <t>How much annual charging revenue could they generate?</t>
  </si>
  <si>
    <t>Guesstimate 4</t>
  </si>
  <si>
    <t>What utilization rate is required to break even?</t>
  </si>
  <si>
    <t>Guesstimate 5</t>
  </si>
  <si>
    <t>What is the potential market size for charging infrastructure?</t>
  </si>
  <si>
    <t>karnataka</t>
  </si>
  <si>
    <t>Scenario</t>
  </si>
  <si>
    <t>Estimated CAPEX</t>
  </si>
  <si>
    <t>Maharashtra Benchmark</t>
  </si>
  <si>
    <t>Karnataka Benchmark</t>
  </si>
  <si>
    <t>Gap</t>
  </si>
  <si>
    <t>₹7L</t>
  </si>
  <si>
    <t>Cost base</t>
  </si>
  <si>
    <t>Cost high</t>
  </si>
  <si>
    <t>₹20L</t>
  </si>
  <si>
    <t>₹307.3 Cr-875 Cr</t>
  </si>
  <si>
    <t>₹831.5 Cr-2369.7 Cr</t>
  </si>
  <si>
    <t>₹103.2 Cr-285Cr</t>
  </si>
  <si>
    <t>₹179.3 Cr-511Cr</t>
  </si>
  <si>
    <t>₹68.8 Cr-196.6Cr</t>
  </si>
  <si>
    <t>₹111.0 Cr-316.35 Cr</t>
  </si>
  <si>
    <t>Utilization / Day</t>
  </si>
  <si>
    <t>Energy Sold / Session (kWh)</t>
  </si>
  <si>
    <t>Revenue / kWh</t>
  </si>
  <si>
    <t>Annual Revenue</t>
  </si>
  <si>
    <t>Revenue (₹ Cr)</t>
  </si>
  <si>
    <t>assuming 8 utilizations per day and 10kWH each time</t>
  </si>
  <si>
    <t>ROI</t>
  </si>
  <si>
    <t>IF utilizations increase from 8+ then roi decreases</t>
  </si>
  <si>
    <t>2 TO 3 YEARS for base model</t>
  </si>
  <si>
    <t>3 TO 3 YEARS for base model</t>
  </si>
  <si>
    <t>4 TO 3 YEARS for base model</t>
  </si>
  <si>
    <t>5 TO 3 YEARS for base model</t>
  </si>
  <si>
    <t>6 TO 3 YEARS for base model</t>
  </si>
  <si>
    <t>7 TO 3 YEARS for base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</si>
</sst>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0" fillId="3" borderId="0" xfId="0" applyFill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1" fontId="0" fillId="0" borderId="0" xfId="0" applyNumberFormat="1" applyAlignment="1">
      <alignment horizontal="righ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right" vertical="center" wrapText="1"/>
    </xf>
    <xf numFmtId="3" fontId="0" fillId="0" borderId="0" xfId="0" applyNumberFormat="1" applyAlignment="1">
      <alignment vertical="center"/>
    </xf>
    <xf numFmtId="0" fontId="0" fillId="0" borderId="0" xfId="0" applyAlignment="1"/>
    <xf numFmtId="0" fontId="0" fillId="4" borderId="0" xfId="0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EV Penetration by Vehicle Segment 2020–2023 YTD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ev_segment_data!$B$32</c:f>
              <c:strCache>
                <c:ptCount val="1"/>
                <c:pt idx="0">
                  <c:v>2W EV Penetration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ev_segment_data!$A$33:$A$36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 YTD</c:v>
                </c:pt>
              </c:strCache>
            </c:strRef>
          </c:cat>
          <c:val>
            <c:numRef>
              <c:f>ev_segment_data!$B$33:$B$36</c:f>
              <c:numCache>
                <c:formatCode>0.00%</c:formatCode>
                <c:ptCount val="4"/>
                <c:pt idx="0">
                  <c:v>2.0351441780077622E-3</c:v>
                </c:pt>
                <c:pt idx="1">
                  <c:v>1.1219342625495496E-2</c:v>
                </c:pt>
                <c:pt idx="2">
                  <c:v>4.0480773683216099E-2</c:v>
                </c:pt>
                <c:pt idx="3">
                  <c:v>5.2783442429916033E-2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9-4D4F-B76D-25E9CC970440}"/>
            </c:ext>
          </c:extLst>
        </c:ser>
        <c:ser>
          <c:idx val="1"/>
          <c:order val="1"/>
          <c:tx>
            <c:strRef>
              <c:f>ev_segment_data!$C$32</c:f>
              <c:strCache>
                <c:ptCount val="1"/>
                <c:pt idx="0">
                  <c:v>3W EV Penetration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ev_segment_data!$A$33:$A$36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 YTD</c:v>
                </c:pt>
              </c:strCache>
            </c:strRef>
          </c:cat>
          <c:val>
            <c:numRef>
              <c:f>ev_segment_data!$C$33:$C$36</c:f>
              <c:numCache>
                <c:formatCode>0.00%</c:formatCode>
                <c:ptCount val="4"/>
                <c:pt idx="0">
                  <c:v>0.22545916241989758</c:v>
                </c:pt>
                <c:pt idx="1">
                  <c:v>0.40460825955682922</c:v>
                </c:pt>
                <c:pt idx="2">
                  <c:v>0.51732557005999702</c:v>
                </c:pt>
                <c:pt idx="3">
                  <c:v>0.52407561983326756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9-4D4F-B76D-25E9CC970440}"/>
            </c:ext>
          </c:extLst>
        </c:ser>
        <c:ser>
          <c:idx val="2"/>
          <c:order val="2"/>
          <c:tx>
            <c:strRef>
              <c:f>ev_segment_data!$D$32</c:f>
              <c:strCache>
                <c:ptCount val="1"/>
                <c:pt idx="0">
                  <c:v>4W EV Penetration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ev_segment_data!$A$33:$A$36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 YTD</c:v>
                </c:pt>
              </c:strCache>
            </c:strRef>
          </c:cat>
          <c:val>
            <c:numRef>
              <c:f>ev_segment_data!$D$33:$D$36</c:f>
              <c:numCache>
                <c:formatCode>0.00%</c:formatCode>
                <c:ptCount val="4"/>
                <c:pt idx="0">
                  <c:v>1.338241749804292E-3</c:v>
                </c:pt>
                <c:pt idx="1">
                  <c:v>4.1621680349297535E-3</c:v>
                </c:pt>
                <c:pt idx="2">
                  <c:v>9.9209046502615941E-3</c:v>
                </c:pt>
                <c:pt idx="3">
                  <c:v>1.9889539951070526E-2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29-4D4F-B76D-25E9CC970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616"/>
        <c:axId val="4986416"/>
      </c:lineChart>
      <c:catAx>
        <c:axId val="1466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416"/>
        <c:crosses val="autoZero"/>
        <c:auto val="1"/>
        <c:lblAlgn val="ctr"/>
        <c:lblOffset val="100"/>
        <c:noMultiLvlLbl val="0"/>
      </c:catAx>
      <c:valAx>
        <c:axId val="49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EVs</a:t>
            </a:r>
            <a:r>
              <a:rPr lang="en-IN" baseline="0"/>
              <a:t> per charging infrastructure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Charging_Stations!$A$2:$A$11</c:f>
              <c:strCache>
                <c:ptCount val="10"/>
                <c:pt idx="0">
                  <c:v>Chandigarh</c:v>
                </c:pt>
                <c:pt idx="1">
                  <c:v>Bihar</c:v>
                </c:pt>
                <c:pt idx="2">
                  <c:v>Assam</c:v>
                </c:pt>
                <c:pt idx="3">
                  <c:v>Uttar Pradesh</c:v>
                </c:pt>
                <c:pt idx="4">
                  <c:v>Tripura</c:v>
                </c:pt>
                <c:pt idx="5">
                  <c:v>Chhattisgarh</c:v>
                </c:pt>
                <c:pt idx="6">
                  <c:v>Uttarakhand</c:v>
                </c:pt>
                <c:pt idx="7">
                  <c:v>Odisha</c:v>
                </c:pt>
                <c:pt idx="8">
                  <c:v>Madhya Pradesh</c:v>
                </c:pt>
                <c:pt idx="9">
                  <c:v>Jharkhand</c:v>
                </c:pt>
              </c:strCache>
            </c:strRef>
          </c:cat>
          <c:val>
            <c:numRef>
              <c:f>Charging_Stations!$D$2:$D$11</c:f>
              <c:numCache>
                <c:formatCode>0</c:formatCode>
                <c:ptCount val="10"/>
                <c:pt idx="0">
                  <c:v>1647.5714285714287</c:v>
                </c:pt>
                <c:pt idx="1">
                  <c:v>1038.8067010309278</c:v>
                </c:pt>
                <c:pt idx="2">
                  <c:v>909.59283387622145</c:v>
                </c:pt>
                <c:pt idx="3">
                  <c:v>669.10338256312525</c:v>
                </c:pt>
                <c:pt idx="4">
                  <c:v>658.69811320754718</c:v>
                </c:pt>
                <c:pt idx="5">
                  <c:v>545.30344827586202</c:v>
                </c:pt>
                <c:pt idx="6">
                  <c:v>456.93034825870649</c:v>
                </c:pt>
                <c:pt idx="7">
                  <c:v>387.93071161048687</c:v>
                </c:pt>
                <c:pt idx="8">
                  <c:v>352.67834394904457</c:v>
                </c:pt>
                <c:pt idx="9">
                  <c:v>350.56317689530687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4-4D11-B564-1BE0BCA39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9070607"/>
        <c:axId val="4987376"/>
      </c:barChart>
      <c:catAx>
        <c:axId val="210907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376"/>
        <c:crosses val="autoZero"/>
        <c:auto val="1"/>
        <c:lblAlgn val="ctr"/>
        <c:lblOffset val="100"/>
        <c:noMultiLvlLbl val="0"/>
      </c:catAx>
      <c:valAx>
        <c:axId val="49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07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State Contribution to India's EV Registrations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Historical_Analysis!$A$9:$A$18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Rajasthan</c:v>
                </c:pt>
                <c:pt idx="4">
                  <c:v>Tamil Nadu</c:v>
                </c:pt>
                <c:pt idx="5">
                  <c:v>Bihar</c:v>
                </c:pt>
                <c:pt idx="6">
                  <c:v>Delhi</c:v>
                </c:pt>
                <c:pt idx="7">
                  <c:v>Gujarat</c:v>
                </c:pt>
                <c:pt idx="8">
                  <c:v>Assam</c:v>
                </c:pt>
                <c:pt idx="9">
                  <c:v>Kerala</c:v>
                </c:pt>
              </c:strCache>
            </c:strRef>
          </c:cat>
          <c:val>
            <c:numRef>
              <c:f>Historical_Analysis!$G$9:$G$18</c:f>
              <c:numCache>
                <c:formatCode>General</c:formatCode>
                <c:ptCount val="10"/>
                <c:pt idx="0">
                  <c:v>17.727982871849949</c:v>
                </c:pt>
                <c:pt idx="1">
                  <c:v>12.220038336748189</c:v>
                </c:pt>
                <c:pt idx="2">
                  <c:v>9.7308954915219488</c:v>
                </c:pt>
                <c:pt idx="3">
                  <c:v>6.7317661493117287</c:v>
                </c:pt>
                <c:pt idx="4">
                  <c:v>6.4971577628439396</c:v>
                </c:pt>
                <c:pt idx="5">
                  <c:v>5.9346885008871668</c:v>
                </c:pt>
                <c:pt idx="6">
                  <c:v>5.728997770351409</c:v>
                </c:pt>
                <c:pt idx="7">
                  <c:v>5.6948318379220995</c:v>
                </c:pt>
                <c:pt idx="8">
                  <c:v>4.2110641315058208</c:v>
                </c:pt>
                <c:pt idx="9">
                  <c:v>4.1482585975284438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F-4ED4-8F73-383F97142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318447"/>
        <c:axId val="1137936687"/>
      </c:barChart>
      <c:catAx>
        <c:axId val="154031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6687"/>
        <c:crosses val="autoZero"/>
        <c:auto val="1"/>
        <c:lblAlgn val="ctr"/>
        <c:lblOffset val="100"/>
        <c:noMultiLvlLbl val="0"/>
      </c:catAx>
      <c:valAx>
        <c:axId val="1137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</a:t>
                </a:r>
                <a:r>
                  <a:rPr lang="en-IN" baseline="0"/>
                  <a:t> share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1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States by EV Registrations (2020–2023 YTD)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Historical_Analysis!$A$9:$A$18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Rajasthan</c:v>
                </c:pt>
                <c:pt idx="4">
                  <c:v>Tamil Nadu</c:v>
                </c:pt>
                <c:pt idx="5">
                  <c:v>Bihar</c:v>
                </c:pt>
                <c:pt idx="6">
                  <c:v>Delhi</c:v>
                </c:pt>
                <c:pt idx="7">
                  <c:v>Gujarat</c:v>
                </c:pt>
                <c:pt idx="8">
                  <c:v>Assam</c:v>
                </c:pt>
                <c:pt idx="9">
                  <c:v>Kerala</c:v>
                </c:pt>
              </c:strCache>
            </c:strRef>
          </c:cat>
          <c:val>
            <c:numRef>
              <c:f>Historical_Analysis!$F$9:$F$18</c:f>
              <c:numCache>
                <c:formatCode>General</c:formatCode>
                <c:ptCount val="10"/>
                <c:pt idx="0">
                  <c:v>510058</c:v>
                </c:pt>
                <c:pt idx="1">
                  <c:v>351587</c:v>
                </c:pt>
                <c:pt idx="2">
                  <c:v>279971</c:v>
                </c:pt>
                <c:pt idx="3">
                  <c:v>193682</c:v>
                </c:pt>
                <c:pt idx="4">
                  <c:v>186932</c:v>
                </c:pt>
                <c:pt idx="5">
                  <c:v>170749</c:v>
                </c:pt>
                <c:pt idx="6">
                  <c:v>164831</c:v>
                </c:pt>
                <c:pt idx="7">
                  <c:v>163848</c:v>
                </c:pt>
                <c:pt idx="8">
                  <c:v>121158</c:v>
                </c:pt>
                <c:pt idx="9">
                  <c:v>119351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6-43E8-8397-560BBAD5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2621583"/>
        <c:axId val="1137949167"/>
      </c:barChart>
      <c:catAx>
        <c:axId val="151262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49167"/>
        <c:crosses val="autoZero"/>
        <c:auto val="1"/>
        <c:lblAlgn val="ctr"/>
        <c:lblOffset val="100"/>
        <c:noMultiLvlLbl val="0"/>
      </c:catAx>
      <c:valAx>
        <c:axId val="11379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62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27</xdr:row>
      <xdr:rowOff>133350</xdr:rowOff>
    </xdr:from>
    <xdr:to>
      <xdr:col>10</xdr:col>
      <xdr:colOff>190500</xdr:colOff>
      <xdr:row>41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3706BE-F11F-0517-8979-06C589959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275422</xdr:colOff>
      <xdr:row>7</xdr:row>
      <xdr:rowOff>92726</xdr:rowOff>
    </xdr:from>
    <xdr:to>
      <xdr:col>15</xdr:col>
      <xdr:colOff>0</xdr:colOff>
      <xdr:row>22</xdr:row>
      <xdr:rowOff>81709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E9E609-FD7F-1AAD-9683-0E6A675F1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19</xdr:row>
      <xdr:rowOff>102870</xdr:rowOff>
    </xdr:from>
    <xdr:to>
      <xdr:col>15</xdr:col>
      <xdr:colOff>556260</xdr:colOff>
      <xdr:row>34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9AEA6F-2362-0A26-652A-2B16D9F87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268310</xdr:colOff>
      <xdr:row>3</xdr:row>
      <xdr:rowOff>88005</xdr:rowOff>
    </xdr:from>
    <xdr:to>
      <xdr:col>15</xdr:col>
      <xdr:colOff>558084</xdr:colOff>
      <xdr:row>18</xdr:row>
      <xdr:rowOff>94445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AE8007-B19A-E113-9C44-910126AAB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F8F1-F679-454B-9EA6-31A9D0FC680F}">
  <dimension ref="A1:J59"/>
  <sheetViews>
    <sheetView topLeftCell="A17" zoomScale="54" workbookViewId="0">
      <selection activeCell="A26" sqref="A26:A58"/>
    </sheetView>
  </sheetViews>
  <sheetFormatPr defaultRowHeight="14.4" x14ac:dyDescent="0.3"/>
  <cols>
    <col min="1" max="1" width="23.44140625" customWidth="1"/>
    <col min="3" max="3" width="14.88671875" customWidth="1"/>
  </cols>
  <sheetData>
    <row r="1" spans="1:8" x14ac:dyDescent="0.3">
      <c r="A1" s="6" t="s">
        <v>0</v>
      </c>
      <c r="B1" s="7">
        <v>2020</v>
      </c>
      <c r="C1" s="7">
        <v>2021</v>
      </c>
      <c r="D1" s="7">
        <v>2022</v>
      </c>
      <c r="E1" s="7">
        <v>2023</v>
      </c>
      <c r="F1" s="7">
        <v>2024</v>
      </c>
      <c r="G1" s="7">
        <v>2025</v>
      </c>
      <c r="H1" s="7">
        <v>2026</v>
      </c>
    </row>
    <row r="2" spans="1:8" ht="28.8" x14ac:dyDescent="0.3">
      <c r="A2" s="3" t="s">
        <v>1</v>
      </c>
      <c r="B2" s="4">
        <v>1654</v>
      </c>
      <c r="C2" s="4">
        <v>9738</v>
      </c>
      <c r="D2" s="4">
        <v>29450</v>
      </c>
      <c r="E2" s="4">
        <v>29546</v>
      </c>
    </row>
    <row r="3" spans="1:8" x14ac:dyDescent="0.3">
      <c r="A3" s="3" t="s">
        <v>2</v>
      </c>
      <c r="B3" s="4">
        <v>8357</v>
      </c>
      <c r="C3" s="4">
        <v>15634</v>
      </c>
      <c r="D3" s="4">
        <v>40719</v>
      </c>
      <c r="E3" s="4">
        <v>56448</v>
      </c>
    </row>
    <row r="4" spans="1:8" x14ac:dyDescent="0.3">
      <c r="A4" s="3" t="s">
        <v>3</v>
      </c>
      <c r="B4" s="4">
        <v>12447</v>
      </c>
      <c r="C4" s="4">
        <v>23082</v>
      </c>
      <c r="D4" s="4">
        <v>55751</v>
      </c>
      <c r="E4" s="4">
        <v>79469</v>
      </c>
    </row>
    <row r="5" spans="1:8" x14ac:dyDescent="0.3">
      <c r="A5" s="3" t="s">
        <v>4</v>
      </c>
      <c r="B5" s="4">
        <v>12377</v>
      </c>
      <c r="C5" s="4">
        <v>25816</v>
      </c>
      <c r="D5" s="4">
        <v>62256</v>
      </c>
      <c r="E5" s="4">
        <v>64382</v>
      </c>
    </row>
    <row r="6" spans="1:8" x14ac:dyDescent="0.3">
      <c r="A6" s="3" t="s">
        <v>5</v>
      </c>
      <c r="B6" s="4">
        <v>1120</v>
      </c>
      <c r="C6" s="4">
        <v>9765</v>
      </c>
      <c r="D6" s="4">
        <v>68998</v>
      </c>
      <c r="E6" s="4">
        <v>83965</v>
      </c>
    </row>
    <row r="9" spans="1:8" x14ac:dyDescent="0.3">
      <c r="A9" s="13" t="s">
        <v>6</v>
      </c>
      <c r="B9" s="13"/>
      <c r="C9" s="13"/>
    </row>
    <row r="10" spans="1:8" ht="43.2" x14ac:dyDescent="0.3">
      <c r="A10" s="5" t="s">
        <v>7</v>
      </c>
      <c r="B10" s="5" t="s">
        <v>8</v>
      </c>
      <c r="C10" s="8" t="s">
        <v>9</v>
      </c>
      <c r="D10" s="5" t="s">
        <v>10</v>
      </c>
      <c r="E10" s="5" t="s">
        <v>11</v>
      </c>
      <c r="F10" s="5" t="s">
        <v>12</v>
      </c>
    </row>
    <row r="20" spans="1:10" x14ac:dyDescent="0.3">
      <c r="A20" t="s">
        <v>17</v>
      </c>
      <c r="C20" t="s">
        <v>18</v>
      </c>
    </row>
    <row r="21" spans="1:10" x14ac:dyDescent="0.3">
      <c r="C21" t="s">
        <v>19</v>
      </c>
    </row>
    <row r="22" spans="1:10" x14ac:dyDescent="0.3">
      <c r="C22" t="s">
        <v>20</v>
      </c>
    </row>
    <row r="25" spans="1:10" x14ac:dyDescent="0.3">
      <c r="A25" s="5" t="s">
        <v>0</v>
      </c>
      <c r="B25" s="5">
        <v>2020</v>
      </c>
      <c r="C25" s="5">
        <v>2021</v>
      </c>
      <c r="D25" s="5">
        <v>2022</v>
      </c>
      <c r="E25" s="5" t="s">
        <v>21</v>
      </c>
      <c r="F25" s="5" t="s">
        <v>22</v>
      </c>
    </row>
    <row r="26" spans="1:10" x14ac:dyDescent="0.3">
      <c r="A26" t="s">
        <v>23</v>
      </c>
      <c r="B26">
        <v>36</v>
      </c>
      <c r="C26">
        <v>92</v>
      </c>
      <c r="D26">
        <v>23</v>
      </c>
      <c r="E26" s="10">
        <v>18</v>
      </c>
      <c r="F26">
        <f>SUM(B26:E26)</f>
        <v>169</v>
      </c>
    </row>
    <row r="27" spans="1:10" x14ac:dyDescent="0.3">
      <c r="A27" t="s">
        <v>1</v>
      </c>
      <c r="B27">
        <v>1654</v>
      </c>
      <c r="C27">
        <v>9738</v>
      </c>
      <c r="D27">
        <v>29450</v>
      </c>
      <c r="E27" s="10">
        <v>29546</v>
      </c>
      <c r="F27">
        <f t="shared" ref="F27:F58" si="0">SUM(B27:E27)</f>
        <v>70388</v>
      </c>
    </row>
    <row r="28" spans="1:10" x14ac:dyDescent="0.3">
      <c r="A28" t="s">
        <v>24</v>
      </c>
      <c r="B28">
        <v>5</v>
      </c>
      <c r="C28">
        <v>2</v>
      </c>
      <c r="D28">
        <v>2</v>
      </c>
      <c r="E28" s="10">
        <v>17</v>
      </c>
      <c r="F28">
        <f t="shared" si="0"/>
        <v>26</v>
      </c>
    </row>
    <row r="29" spans="1:10" x14ac:dyDescent="0.3">
      <c r="A29" t="s">
        <v>2</v>
      </c>
      <c r="B29">
        <v>8357</v>
      </c>
      <c r="C29">
        <v>15634</v>
      </c>
      <c r="D29">
        <v>40719</v>
      </c>
      <c r="E29" s="10">
        <v>56448</v>
      </c>
      <c r="F29">
        <f t="shared" si="0"/>
        <v>121158</v>
      </c>
    </row>
    <row r="30" spans="1:10" x14ac:dyDescent="0.3">
      <c r="A30" t="s">
        <v>3</v>
      </c>
      <c r="B30">
        <v>12447</v>
      </c>
      <c r="C30">
        <v>23082</v>
      </c>
      <c r="D30">
        <v>55751</v>
      </c>
      <c r="E30" s="10">
        <v>79469</v>
      </c>
      <c r="F30">
        <f t="shared" si="0"/>
        <v>170749</v>
      </c>
    </row>
    <row r="31" spans="1:10" x14ac:dyDescent="0.3">
      <c r="A31" t="s">
        <v>25</v>
      </c>
      <c r="B31">
        <v>369</v>
      </c>
      <c r="C31">
        <v>734</v>
      </c>
      <c r="D31">
        <v>2721</v>
      </c>
      <c r="E31" s="10">
        <v>5753</v>
      </c>
      <c r="F31">
        <f t="shared" si="0"/>
        <v>9577</v>
      </c>
    </row>
    <row r="32" spans="1:10" x14ac:dyDescent="0.3">
      <c r="A32" t="s">
        <v>26</v>
      </c>
      <c r="B32">
        <v>1489</v>
      </c>
      <c r="C32">
        <v>4215</v>
      </c>
      <c r="D32">
        <v>22364</v>
      </c>
      <c r="E32" s="10">
        <v>35115</v>
      </c>
      <c r="F32">
        <f t="shared" si="0"/>
        <v>63183</v>
      </c>
      <c r="I32" s="10"/>
      <c r="J32" t="s">
        <v>52</v>
      </c>
    </row>
    <row r="33" spans="1:6" x14ac:dyDescent="0.3">
      <c r="A33" t="s">
        <v>4</v>
      </c>
      <c r="B33">
        <v>12377</v>
      </c>
      <c r="C33">
        <v>25816</v>
      </c>
      <c r="D33">
        <v>62256</v>
      </c>
      <c r="E33" s="10">
        <v>64382</v>
      </c>
      <c r="F33">
        <f t="shared" si="0"/>
        <v>164831</v>
      </c>
    </row>
    <row r="34" spans="1:6" x14ac:dyDescent="0.3">
      <c r="A34" t="s">
        <v>27</v>
      </c>
      <c r="B34">
        <v>82</v>
      </c>
      <c r="C34">
        <v>1096</v>
      </c>
      <c r="D34">
        <v>5688</v>
      </c>
      <c r="E34" s="10">
        <v>8637</v>
      </c>
      <c r="F34">
        <f t="shared" si="0"/>
        <v>15503</v>
      </c>
    </row>
    <row r="35" spans="1:6" x14ac:dyDescent="0.3">
      <c r="A35" t="s">
        <v>5</v>
      </c>
      <c r="B35">
        <v>1120</v>
      </c>
      <c r="C35">
        <v>9765</v>
      </c>
      <c r="D35">
        <v>68998</v>
      </c>
      <c r="E35" s="10">
        <v>83965</v>
      </c>
      <c r="F35">
        <f t="shared" si="0"/>
        <v>163848</v>
      </c>
    </row>
    <row r="36" spans="1:6" x14ac:dyDescent="0.3">
      <c r="A36" t="s">
        <v>28</v>
      </c>
      <c r="B36">
        <v>2982</v>
      </c>
      <c r="C36">
        <v>8660</v>
      </c>
      <c r="D36">
        <v>25864</v>
      </c>
      <c r="E36" s="10">
        <v>27465</v>
      </c>
      <c r="F36">
        <f t="shared" si="0"/>
        <v>64971</v>
      </c>
    </row>
    <row r="37" spans="1:6" x14ac:dyDescent="0.3">
      <c r="A37" t="s">
        <v>29</v>
      </c>
      <c r="B37">
        <v>181</v>
      </c>
      <c r="C37">
        <v>327</v>
      </c>
      <c r="D37">
        <v>1008</v>
      </c>
      <c r="E37" s="10">
        <v>1003</v>
      </c>
      <c r="F37">
        <f t="shared" si="0"/>
        <v>2519</v>
      </c>
    </row>
    <row r="38" spans="1:6" x14ac:dyDescent="0.3">
      <c r="A38" t="s">
        <v>30</v>
      </c>
      <c r="B38">
        <v>74</v>
      </c>
      <c r="C38">
        <v>1146</v>
      </c>
      <c r="D38">
        <v>4689</v>
      </c>
      <c r="E38" s="10">
        <v>8823</v>
      </c>
      <c r="F38">
        <f t="shared" si="0"/>
        <v>14732</v>
      </c>
    </row>
    <row r="39" spans="1:6" x14ac:dyDescent="0.3">
      <c r="A39" t="s">
        <v>31</v>
      </c>
      <c r="B39">
        <v>1516</v>
      </c>
      <c r="C39">
        <v>3741</v>
      </c>
      <c r="D39">
        <v>13682</v>
      </c>
      <c r="E39" s="10">
        <v>19096</v>
      </c>
      <c r="F39">
        <f t="shared" si="0"/>
        <v>38035</v>
      </c>
    </row>
    <row r="40" spans="1:6" x14ac:dyDescent="0.3">
      <c r="A40" t="s">
        <v>32</v>
      </c>
      <c r="B40">
        <v>9707</v>
      </c>
      <c r="C40">
        <v>33307</v>
      </c>
      <c r="D40">
        <v>95900</v>
      </c>
      <c r="E40" s="10">
        <v>141057</v>
      </c>
      <c r="F40">
        <f t="shared" si="0"/>
        <v>279971</v>
      </c>
    </row>
    <row r="41" spans="1:6" x14ac:dyDescent="0.3">
      <c r="A41" t="s">
        <v>33</v>
      </c>
      <c r="B41">
        <v>1362</v>
      </c>
      <c r="C41">
        <v>8743</v>
      </c>
      <c r="D41">
        <v>39622</v>
      </c>
      <c r="E41" s="10">
        <v>69624</v>
      </c>
      <c r="F41">
        <f t="shared" si="0"/>
        <v>119351</v>
      </c>
    </row>
    <row r="42" spans="1:6" x14ac:dyDescent="0.3">
      <c r="A42" t="s">
        <v>34</v>
      </c>
      <c r="B42">
        <v>0</v>
      </c>
      <c r="C42">
        <v>6</v>
      </c>
      <c r="D42">
        <v>40</v>
      </c>
      <c r="E42" s="10">
        <v>28</v>
      </c>
      <c r="F42">
        <f t="shared" si="0"/>
        <v>74</v>
      </c>
    </row>
    <row r="43" spans="1:6" x14ac:dyDescent="0.3">
      <c r="A43" t="s">
        <v>35</v>
      </c>
      <c r="B43">
        <v>3358</v>
      </c>
      <c r="C43">
        <v>10427</v>
      </c>
      <c r="D43">
        <v>36804</v>
      </c>
      <c r="E43" s="10">
        <v>61678</v>
      </c>
      <c r="F43">
        <f t="shared" si="0"/>
        <v>112267</v>
      </c>
    </row>
    <row r="44" spans="1:6" x14ac:dyDescent="0.3">
      <c r="A44" t="s">
        <v>36</v>
      </c>
      <c r="B44">
        <v>7134</v>
      </c>
      <c r="C44">
        <v>29914</v>
      </c>
      <c r="D44">
        <v>136051</v>
      </c>
      <c r="E44" s="10">
        <v>178488</v>
      </c>
      <c r="F44">
        <f t="shared" si="0"/>
        <v>351587</v>
      </c>
    </row>
    <row r="45" spans="1:6" x14ac:dyDescent="0.3">
      <c r="A45" t="s">
        <v>37</v>
      </c>
      <c r="B45">
        <v>104</v>
      </c>
      <c r="C45">
        <v>114</v>
      </c>
      <c r="D45">
        <v>341</v>
      </c>
      <c r="E45" s="10">
        <v>386</v>
      </c>
      <c r="F45">
        <f t="shared" si="0"/>
        <v>945</v>
      </c>
    </row>
    <row r="46" spans="1:6" x14ac:dyDescent="0.3">
      <c r="A46" t="s">
        <v>38</v>
      </c>
      <c r="B46">
        <v>3</v>
      </c>
      <c r="C46">
        <v>5</v>
      </c>
      <c r="D46">
        <v>42</v>
      </c>
      <c r="E46" s="10">
        <v>110</v>
      </c>
      <c r="F46">
        <f t="shared" si="0"/>
        <v>160</v>
      </c>
    </row>
    <row r="47" spans="1:6" x14ac:dyDescent="0.3">
      <c r="A47" t="s">
        <v>39</v>
      </c>
      <c r="B47">
        <v>1</v>
      </c>
      <c r="C47">
        <v>1</v>
      </c>
      <c r="D47">
        <v>36</v>
      </c>
      <c r="E47" s="10">
        <v>144</v>
      </c>
      <c r="F47">
        <f>SUM(B47:E47)</f>
        <v>182</v>
      </c>
    </row>
    <row r="48" spans="1:6" x14ac:dyDescent="0.3">
      <c r="A48" t="s">
        <v>40</v>
      </c>
      <c r="B48">
        <v>11</v>
      </c>
      <c r="C48">
        <v>2</v>
      </c>
      <c r="D48">
        <v>3</v>
      </c>
      <c r="E48" s="10">
        <v>6</v>
      </c>
      <c r="F48">
        <f t="shared" si="0"/>
        <v>22</v>
      </c>
    </row>
    <row r="49" spans="1:6" x14ac:dyDescent="0.3">
      <c r="A49" t="s">
        <v>41</v>
      </c>
      <c r="B49">
        <v>904</v>
      </c>
      <c r="C49">
        <v>5626</v>
      </c>
      <c r="D49">
        <v>28446</v>
      </c>
      <c r="E49" s="10">
        <v>39839</v>
      </c>
      <c r="F49">
        <f t="shared" si="0"/>
        <v>74815</v>
      </c>
    </row>
    <row r="50" spans="1:6" x14ac:dyDescent="0.3">
      <c r="A50" t="s">
        <v>42</v>
      </c>
      <c r="B50">
        <v>88</v>
      </c>
      <c r="C50">
        <v>405</v>
      </c>
      <c r="D50">
        <v>1481</v>
      </c>
      <c r="E50" s="10">
        <v>2405</v>
      </c>
      <c r="F50">
        <f t="shared" si="0"/>
        <v>4379</v>
      </c>
    </row>
    <row r="51" spans="1:6" x14ac:dyDescent="0.3">
      <c r="A51" t="s">
        <v>43</v>
      </c>
      <c r="B51">
        <v>832</v>
      </c>
      <c r="C51">
        <v>4643</v>
      </c>
      <c r="D51">
        <v>14053</v>
      </c>
      <c r="E51" s="10">
        <v>23378</v>
      </c>
      <c r="F51">
        <f t="shared" si="0"/>
        <v>42906</v>
      </c>
    </row>
    <row r="52" spans="1:6" x14ac:dyDescent="0.3">
      <c r="A52" t="s">
        <v>44</v>
      </c>
      <c r="B52">
        <v>5604</v>
      </c>
      <c r="C52">
        <v>23464</v>
      </c>
      <c r="D52">
        <v>78238</v>
      </c>
      <c r="E52" s="10">
        <v>86376</v>
      </c>
      <c r="F52">
        <f t="shared" si="0"/>
        <v>193682</v>
      </c>
    </row>
    <row r="53" spans="1:6" x14ac:dyDescent="0.3">
      <c r="A53" t="s">
        <v>45</v>
      </c>
      <c r="B53">
        <v>5697</v>
      </c>
      <c r="C53">
        <v>30030</v>
      </c>
      <c r="D53">
        <v>66953</v>
      </c>
      <c r="E53" s="10">
        <v>84252</v>
      </c>
      <c r="F53">
        <f t="shared" si="0"/>
        <v>186932</v>
      </c>
    </row>
    <row r="54" spans="1:6" x14ac:dyDescent="0.3">
      <c r="A54" t="s">
        <v>46</v>
      </c>
      <c r="B54">
        <v>3421</v>
      </c>
      <c r="C54">
        <v>2434</v>
      </c>
      <c r="D54">
        <v>4179</v>
      </c>
      <c r="E54" s="10">
        <v>5799</v>
      </c>
      <c r="F54">
        <f t="shared" si="0"/>
        <v>15833</v>
      </c>
    </row>
    <row r="55" spans="1:6" x14ac:dyDescent="0.3">
      <c r="A55" t="s">
        <v>47</v>
      </c>
      <c r="B55">
        <v>24</v>
      </c>
      <c r="C55">
        <v>29</v>
      </c>
      <c r="D55">
        <v>141</v>
      </c>
      <c r="E55" s="10">
        <v>142</v>
      </c>
      <c r="F55">
        <f t="shared" si="0"/>
        <v>336</v>
      </c>
    </row>
    <row r="56" spans="1:6" x14ac:dyDescent="0.3">
      <c r="A56" t="s">
        <v>48</v>
      </c>
      <c r="B56">
        <v>31268</v>
      </c>
      <c r="C56">
        <v>66705</v>
      </c>
      <c r="D56">
        <v>162862</v>
      </c>
      <c r="E56" s="10">
        <v>249223</v>
      </c>
      <c r="F56">
        <f t="shared" si="0"/>
        <v>510058</v>
      </c>
    </row>
    <row r="57" spans="1:6" x14ac:dyDescent="0.3">
      <c r="A57" t="s">
        <v>49</v>
      </c>
      <c r="B57">
        <v>2395</v>
      </c>
      <c r="C57">
        <v>5324</v>
      </c>
      <c r="D57">
        <v>15561</v>
      </c>
      <c r="E57" s="10">
        <v>15330</v>
      </c>
      <c r="F57">
        <f t="shared" si="0"/>
        <v>38610</v>
      </c>
    </row>
    <row r="58" spans="1:6" x14ac:dyDescent="0.3">
      <c r="A58" t="s">
        <v>50</v>
      </c>
      <c r="B58">
        <v>10079</v>
      </c>
      <c r="C58">
        <v>6408</v>
      </c>
      <c r="D58">
        <v>11150</v>
      </c>
      <c r="E58" s="10">
        <v>17699</v>
      </c>
      <c r="F58">
        <f t="shared" si="0"/>
        <v>45336</v>
      </c>
    </row>
    <row r="59" spans="1:6" x14ac:dyDescent="0.3">
      <c r="A59" s="9" t="s">
        <v>51</v>
      </c>
      <c r="B59" s="2">
        <f>SUM(B26:B58)</f>
        <v>124681</v>
      </c>
      <c r="C59" s="2">
        <f t="shared" ref="C59:F59" si="1">SUM(C26:C58)</f>
        <v>331635</v>
      </c>
      <c r="D59" s="2">
        <f t="shared" si="1"/>
        <v>1025118</v>
      </c>
      <c r="E59" s="2">
        <f t="shared" si="1"/>
        <v>1395701</v>
      </c>
      <c r="F59" s="2">
        <f t="shared" si="1"/>
        <v>2877135</v>
      </c>
    </row>
  </sheetData>
  <mergeCells count="1"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9EF2-7E8C-467C-9043-9448F0C706A9}">
  <dimension ref="A1:H7"/>
  <sheetViews>
    <sheetView workbookViewId="0">
      <selection activeCell="C19" sqref="C19"/>
    </sheetView>
  </sheetViews>
  <sheetFormatPr defaultRowHeight="14.4" x14ac:dyDescent="0.3"/>
  <cols>
    <col min="1" max="1" width="16.6640625" customWidth="1"/>
    <col min="2" max="2" width="15" customWidth="1"/>
    <col min="3" max="3" width="24.88671875" customWidth="1"/>
    <col min="4" max="4" width="14.88671875" customWidth="1"/>
    <col min="5" max="5" width="16.5546875" customWidth="1"/>
    <col min="6" max="6" width="12.6640625" customWidth="1"/>
    <col min="7" max="7" width="39.109375" customWidth="1"/>
    <col min="8" max="8" width="15.109375" customWidth="1"/>
  </cols>
  <sheetData>
    <row r="1" spans="1:8" x14ac:dyDescent="0.3">
      <c r="A1" s="5" t="s">
        <v>68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12</v>
      </c>
      <c r="G1" s="5" t="s">
        <v>69</v>
      </c>
      <c r="H1" s="5" t="s">
        <v>71</v>
      </c>
    </row>
    <row r="2" spans="1:8" x14ac:dyDescent="0.3">
      <c r="A2" t="s">
        <v>62</v>
      </c>
      <c r="B2" s="14">
        <v>2711457</v>
      </c>
      <c r="C2" s="14">
        <v>568559</v>
      </c>
      <c r="D2" s="14">
        <v>219446</v>
      </c>
      <c r="E2" s="14">
        <v>15120783</v>
      </c>
      <c r="F2" s="14">
        <f>SUM(B2:E2)</f>
        <v>18620245</v>
      </c>
      <c r="G2" t="s">
        <v>70</v>
      </c>
      <c r="H2" t="s">
        <v>72</v>
      </c>
    </row>
    <row r="3" spans="1:8" x14ac:dyDescent="0.3">
      <c r="A3" t="s">
        <v>63</v>
      </c>
      <c r="B3" s="14">
        <v>3069523</v>
      </c>
      <c r="C3" s="14">
        <v>716566</v>
      </c>
      <c r="D3" s="14">
        <v>261385</v>
      </c>
      <c r="E3" s="14">
        <v>13570008</v>
      </c>
      <c r="F3" s="14">
        <f t="shared" ref="F3:F7" si="0">SUM(B3:E3)</f>
        <v>17617482</v>
      </c>
      <c r="G3" t="s">
        <v>70</v>
      </c>
      <c r="H3" t="s">
        <v>72</v>
      </c>
    </row>
    <row r="4" spans="1:8" x14ac:dyDescent="0.3">
      <c r="A4" t="s">
        <v>64</v>
      </c>
      <c r="B4" s="14">
        <v>3890114</v>
      </c>
      <c r="C4" s="14">
        <v>962468</v>
      </c>
      <c r="D4" s="14">
        <v>488768</v>
      </c>
      <c r="E4" s="14">
        <v>15862771</v>
      </c>
      <c r="F4" s="14">
        <f t="shared" si="0"/>
        <v>21204121</v>
      </c>
      <c r="G4" t="s">
        <v>70</v>
      </c>
      <c r="H4" t="s">
        <v>72</v>
      </c>
    </row>
    <row r="5" spans="1:8" x14ac:dyDescent="0.3">
      <c r="A5" t="s">
        <v>65</v>
      </c>
      <c r="B5" s="14">
        <v>4218750</v>
      </c>
      <c r="C5" s="14">
        <v>968770</v>
      </c>
      <c r="D5" s="14">
        <v>694801</v>
      </c>
      <c r="E5" s="14">
        <v>17974365</v>
      </c>
      <c r="F5" s="14">
        <f t="shared" si="0"/>
        <v>23856686</v>
      </c>
      <c r="G5" t="s">
        <v>70</v>
      </c>
      <c r="H5" t="s">
        <v>72</v>
      </c>
    </row>
    <row r="6" spans="1:8" x14ac:dyDescent="0.3">
      <c r="A6" t="s">
        <v>66</v>
      </c>
      <c r="B6" s="14">
        <v>4301848</v>
      </c>
      <c r="C6" s="14">
        <v>958679</v>
      </c>
      <c r="D6" s="14">
        <v>741420</v>
      </c>
      <c r="E6" s="14">
        <v>19607332</v>
      </c>
      <c r="F6" s="14">
        <f t="shared" si="0"/>
        <v>25609279</v>
      </c>
      <c r="G6" t="s">
        <v>70</v>
      </c>
      <c r="H6" t="s">
        <v>72</v>
      </c>
    </row>
    <row r="7" spans="1:8" x14ac:dyDescent="0.3">
      <c r="A7" t="s">
        <v>67</v>
      </c>
      <c r="B7" s="14">
        <v>4643439</v>
      </c>
      <c r="C7" s="14">
        <v>1079871</v>
      </c>
      <c r="D7" s="14">
        <v>836231</v>
      </c>
      <c r="E7" s="14">
        <v>21705974</v>
      </c>
      <c r="F7" s="14">
        <f t="shared" si="0"/>
        <v>28265515</v>
      </c>
      <c r="G7" t="s">
        <v>70</v>
      </c>
      <c r="H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08AB-061B-4E69-9AAF-38AC998D46C9}">
  <dimension ref="A1:G36"/>
  <sheetViews>
    <sheetView topLeftCell="A23" workbookViewId="0">
      <selection activeCell="M32" sqref="M32"/>
    </sheetView>
  </sheetViews>
  <sheetFormatPr defaultRowHeight="14.4" x14ac:dyDescent="0.3"/>
  <cols>
    <col min="1" max="1" width="12.21875" customWidth="1"/>
    <col min="2" max="2" width="19.88671875" customWidth="1"/>
    <col min="3" max="3" width="12.77734375" customWidth="1"/>
    <col min="4" max="4" width="11.6640625" customWidth="1"/>
    <col min="5" max="5" width="13.77734375" customWidth="1"/>
    <col min="6" max="6" width="24.21875" customWidth="1"/>
    <col min="7" max="7" width="13.5546875" customWidth="1"/>
  </cols>
  <sheetData>
    <row r="1" spans="1:7" x14ac:dyDescent="0.3">
      <c r="A1" s="5" t="s">
        <v>53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69</v>
      </c>
      <c r="G1" s="5" t="s">
        <v>71</v>
      </c>
    </row>
    <row r="2" spans="1:7" x14ac:dyDescent="0.3">
      <c r="A2" s="16">
        <v>2020</v>
      </c>
      <c r="B2" t="s">
        <v>77</v>
      </c>
      <c r="C2">
        <v>14305129</v>
      </c>
      <c r="D2">
        <v>29113</v>
      </c>
      <c r="E2" s="15">
        <f>D2/C2</f>
        <v>2.0351441780077622E-3</v>
      </c>
      <c r="F2" t="s">
        <v>78</v>
      </c>
      <c r="G2" t="s">
        <v>79</v>
      </c>
    </row>
    <row r="3" spans="1:7" x14ac:dyDescent="0.3">
      <c r="A3" s="16"/>
      <c r="B3" t="s">
        <v>80</v>
      </c>
      <c r="C3">
        <v>400893</v>
      </c>
      <c r="D3">
        <v>90385</v>
      </c>
      <c r="E3" s="15">
        <f t="shared" ref="E3:E21" si="0">D3/C3</f>
        <v>0.22545916241989758</v>
      </c>
      <c r="F3" t="s">
        <v>78</v>
      </c>
      <c r="G3" t="s">
        <v>79</v>
      </c>
    </row>
    <row r="4" spans="1:7" x14ac:dyDescent="0.3">
      <c r="A4" s="16"/>
      <c r="B4" t="s">
        <v>81</v>
      </c>
      <c r="C4">
        <v>2396428</v>
      </c>
      <c r="D4">
        <v>3207</v>
      </c>
      <c r="E4" s="15">
        <f t="shared" si="0"/>
        <v>1.338241749804292E-3</v>
      </c>
      <c r="F4" t="s">
        <v>78</v>
      </c>
      <c r="G4" t="s">
        <v>79</v>
      </c>
    </row>
    <row r="5" spans="1:7" x14ac:dyDescent="0.3">
      <c r="A5" s="16"/>
      <c r="B5" t="s">
        <v>82</v>
      </c>
      <c r="C5">
        <v>503358</v>
      </c>
      <c r="D5">
        <v>15</v>
      </c>
      <c r="E5" s="15">
        <f t="shared" si="0"/>
        <v>2.9799864112619648E-5</v>
      </c>
      <c r="F5" t="s">
        <v>78</v>
      </c>
      <c r="G5" t="s">
        <v>79</v>
      </c>
    </row>
    <row r="6" spans="1:7" x14ac:dyDescent="0.3">
      <c r="A6" s="16"/>
      <c r="B6" t="s">
        <v>83</v>
      </c>
      <c r="C6">
        <v>40328</v>
      </c>
      <c r="D6">
        <v>88</v>
      </c>
      <c r="E6" s="15">
        <f t="shared" si="0"/>
        <v>2.1821067248561795E-3</v>
      </c>
      <c r="F6" t="s">
        <v>78</v>
      </c>
      <c r="G6" t="s">
        <v>79</v>
      </c>
    </row>
    <row r="7" spans="1:7" x14ac:dyDescent="0.3">
      <c r="A7" s="16">
        <v>2021</v>
      </c>
      <c r="B7" t="s">
        <v>77</v>
      </c>
      <c r="C7">
        <v>13926217</v>
      </c>
      <c r="D7">
        <v>156243</v>
      </c>
      <c r="E7" s="15">
        <f t="shared" si="0"/>
        <v>1.1219342625495496E-2</v>
      </c>
      <c r="F7" t="s">
        <v>78</v>
      </c>
      <c r="G7" t="s">
        <v>79</v>
      </c>
    </row>
    <row r="8" spans="1:7" x14ac:dyDescent="0.3">
      <c r="A8" s="16"/>
      <c r="B8" t="s">
        <v>80</v>
      </c>
      <c r="C8">
        <v>390820</v>
      </c>
      <c r="D8">
        <v>158129</v>
      </c>
      <c r="E8" s="15">
        <f t="shared" si="0"/>
        <v>0.40460825955682922</v>
      </c>
      <c r="F8" t="s">
        <v>78</v>
      </c>
      <c r="G8" t="s">
        <v>79</v>
      </c>
    </row>
    <row r="9" spans="1:7" x14ac:dyDescent="0.3">
      <c r="A9" s="16"/>
      <c r="B9" t="s">
        <v>81</v>
      </c>
      <c r="C9">
        <v>2945340</v>
      </c>
      <c r="D9">
        <v>12259</v>
      </c>
      <c r="E9" s="15">
        <f t="shared" si="0"/>
        <v>4.1621680349297535E-3</v>
      </c>
      <c r="F9" t="s">
        <v>78</v>
      </c>
      <c r="G9" t="s">
        <v>79</v>
      </c>
    </row>
    <row r="10" spans="1:7" x14ac:dyDescent="0.3">
      <c r="A10" s="16"/>
      <c r="B10" t="s">
        <v>82</v>
      </c>
      <c r="C10">
        <v>602805</v>
      </c>
      <c r="D10">
        <v>1118</v>
      </c>
      <c r="E10" s="15">
        <f t="shared" si="0"/>
        <v>1.8546627848143264E-3</v>
      </c>
      <c r="F10" t="s">
        <v>78</v>
      </c>
      <c r="G10" t="s">
        <v>79</v>
      </c>
    </row>
    <row r="11" spans="1:7" x14ac:dyDescent="0.3">
      <c r="A11" s="16"/>
      <c r="B11" t="s">
        <v>83</v>
      </c>
      <c r="C11">
        <v>15434</v>
      </c>
      <c r="D11">
        <v>1177</v>
      </c>
      <c r="E11" s="15">
        <f t="shared" si="0"/>
        <v>7.6260204742775686E-2</v>
      </c>
      <c r="F11" t="s">
        <v>78</v>
      </c>
      <c r="G11" t="s">
        <v>79</v>
      </c>
    </row>
    <row r="12" spans="1:7" x14ac:dyDescent="0.3">
      <c r="A12" s="16">
        <v>2022</v>
      </c>
      <c r="B12" t="s">
        <v>77</v>
      </c>
      <c r="C12">
        <v>15592118</v>
      </c>
      <c r="D12">
        <v>631181</v>
      </c>
      <c r="E12" s="15">
        <f t="shared" si="0"/>
        <v>4.0480773683216099E-2</v>
      </c>
      <c r="F12" t="s">
        <v>78</v>
      </c>
      <c r="G12" t="s">
        <v>79</v>
      </c>
    </row>
    <row r="13" spans="1:7" x14ac:dyDescent="0.3">
      <c r="A13" s="16"/>
      <c r="B13" t="s">
        <v>80</v>
      </c>
      <c r="C13">
        <v>677034</v>
      </c>
      <c r="D13">
        <v>350247</v>
      </c>
      <c r="E13" s="15">
        <f t="shared" si="0"/>
        <v>0.51732557005999702</v>
      </c>
      <c r="F13" t="s">
        <v>78</v>
      </c>
      <c r="G13" t="s">
        <v>79</v>
      </c>
    </row>
    <row r="14" spans="1:7" x14ac:dyDescent="0.3">
      <c r="A14" s="16"/>
      <c r="B14" t="s">
        <v>81</v>
      </c>
      <c r="C14">
        <v>3346973</v>
      </c>
      <c r="D14">
        <v>33205</v>
      </c>
      <c r="E14" s="15">
        <f t="shared" si="0"/>
        <v>9.9209046502615941E-3</v>
      </c>
      <c r="F14" t="s">
        <v>78</v>
      </c>
      <c r="G14" t="s">
        <v>79</v>
      </c>
    </row>
    <row r="15" spans="1:7" x14ac:dyDescent="0.3">
      <c r="A15" s="16"/>
      <c r="B15" t="s">
        <v>82</v>
      </c>
      <c r="C15">
        <v>804409</v>
      </c>
      <c r="D15">
        <v>653</v>
      </c>
      <c r="E15" s="15">
        <f t="shared" si="0"/>
        <v>8.1177609897452666E-4</v>
      </c>
      <c r="F15" t="s">
        <v>78</v>
      </c>
      <c r="G15" t="s">
        <v>79</v>
      </c>
    </row>
    <row r="16" spans="1:7" x14ac:dyDescent="0.3">
      <c r="A16" s="16"/>
      <c r="B16" t="s">
        <v>83</v>
      </c>
      <c r="C16">
        <v>45448</v>
      </c>
      <c r="D16">
        <v>1972</v>
      </c>
      <c r="E16" s="15">
        <f t="shared" si="0"/>
        <v>4.3390248195740187E-2</v>
      </c>
      <c r="F16" t="s">
        <v>78</v>
      </c>
      <c r="G16" t="s">
        <v>79</v>
      </c>
    </row>
    <row r="17" spans="1:7" x14ac:dyDescent="0.3">
      <c r="A17" s="16" t="s">
        <v>21</v>
      </c>
      <c r="B17" t="s">
        <v>77</v>
      </c>
      <c r="C17">
        <v>9276337</v>
      </c>
      <c r="D17">
        <v>489637</v>
      </c>
      <c r="E17" s="15">
        <f t="shared" si="0"/>
        <v>5.2783442429916033E-2</v>
      </c>
      <c r="F17" t="s">
        <v>78</v>
      </c>
      <c r="G17" t="s">
        <v>79</v>
      </c>
    </row>
    <row r="18" spans="1:7" x14ac:dyDescent="0.3">
      <c r="A18" s="16"/>
      <c r="B18" t="s">
        <v>80</v>
      </c>
      <c r="C18">
        <v>572654</v>
      </c>
      <c r="D18">
        <v>300114</v>
      </c>
      <c r="E18" s="15">
        <f t="shared" si="0"/>
        <v>0.52407561983326756</v>
      </c>
      <c r="F18" t="s">
        <v>78</v>
      </c>
      <c r="G18" t="s">
        <v>79</v>
      </c>
    </row>
    <row r="19" spans="1:7" x14ac:dyDescent="0.3">
      <c r="A19" s="16"/>
      <c r="B19" t="s">
        <v>81</v>
      </c>
      <c r="C19">
        <v>2020459</v>
      </c>
      <c r="D19">
        <v>40186</v>
      </c>
      <c r="E19" s="15">
        <f t="shared" si="0"/>
        <v>1.9889539951070526E-2</v>
      </c>
      <c r="F19" t="s">
        <v>78</v>
      </c>
      <c r="G19" t="s">
        <v>79</v>
      </c>
    </row>
    <row r="20" spans="1:7" x14ac:dyDescent="0.3">
      <c r="A20" s="16"/>
      <c r="B20" t="s">
        <v>82</v>
      </c>
      <c r="C20">
        <v>490920</v>
      </c>
      <c r="D20">
        <v>1512</v>
      </c>
      <c r="E20" s="15">
        <f t="shared" si="0"/>
        <v>3.0799315570765092E-3</v>
      </c>
      <c r="F20" t="s">
        <v>78</v>
      </c>
      <c r="G20" t="s">
        <v>79</v>
      </c>
    </row>
    <row r="21" spans="1:7" x14ac:dyDescent="0.3">
      <c r="A21" s="16"/>
      <c r="B21" t="s">
        <v>83</v>
      </c>
      <c r="C21">
        <v>47058</v>
      </c>
      <c r="D21">
        <v>985</v>
      </c>
      <c r="E21" s="15">
        <f t="shared" si="0"/>
        <v>2.0931616303285307E-2</v>
      </c>
      <c r="F21" t="s">
        <v>78</v>
      </c>
      <c r="G21" t="s">
        <v>79</v>
      </c>
    </row>
    <row r="22" spans="1:7" x14ac:dyDescent="0.3">
      <c r="A22" s="17" t="s">
        <v>65</v>
      </c>
      <c r="B22" t="s">
        <v>84</v>
      </c>
      <c r="D22">
        <v>948561</v>
      </c>
      <c r="F22" t="s">
        <v>78</v>
      </c>
      <c r="G22" t="s">
        <v>79</v>
      </c>
    </row>
    <row r="23" spans="1:7" x14ac:dyDescent="0.3">
      <c r="A23" s="17" t="s">
        <v>66</v>
      </c>
      <c r="B23" t="s">
        <v>84</v>
      </c>
      <c r="D23">
        <v>1149334</v>
      </c>
      <c r="F23" t="s">
        <v>78</v>
      </c>
      <c r="G23" t="s">
        <v>79</v>
      </c>
    </row>
    <row r="24" spans="1:7" x14ac:dyDescent="0.3">
      <c r="A24" s="17" t="s">
        <v>65</v>
      </c>
      <c r="B24" t="s">
        <v>10</v>
      </c>
      <c r="D24">
        <v>101581</v>
      </c>
      <c r="F24" t="s">
        <v>78</v>
      </c>
      <c r="G24" t="s">
        <v>79</v>
      </c>
    </row>
    <row r="25" spans="1:7" x14ac:dyDescent="0.3">
      <c r="A25" s="17" t="s">
        <v>66</v>
      </c>
      <c r="B25" t="s">
        <v>10</v>
      </c>
      <c r="D25">
        <v>159235</v>
      </c>
      <c r="F25" t="s">
        <v>78</v>
      </c>
      <c r="G25" t="s">
        <v>79</v>
      </c>
    </row>
    <row r="32" spans="1:7" ht="28.8" x14ac:dyDescent="0.3">
      <c r="A32" s="1" t="s">
        <v>53</v>
      </c>
      <c r="B32" s="2" t="s">
        <v>85</v>
      </c>
      <c r="C32" s="2" t="s">
        <v>86</v>
      </c>
      <c r="D32" s="2" t="s">
        <v>87</v>
      </c>
    </row>
    <row r="33" spans="1:4" x14ac:dyDescent="0.3">
      <c r="A33" s="3">
        <v>2020</v>
      </c>
      <c r="B33" s="19">
        <f>E2</f>
        <v>2.0351441780077622E-3</v>
      </c>
      <c r="C33" s="19">
        <f>E3</f>
        <v>0.22545916241989758</v>
      </c>
      <c r="D33" s="19">
        <f>E4</f>
        <v>1.338241749804292E-3</v>
      </c>
    </row>
    <row r="34" spans="1:4" x14ac:dyDescent="0.3">
      <c r="A34" s="3">
        <v>2021</v>
      </c>
      <c r="B34" s="19">
        <f>E7</f>
        <v>1.1219342625495496E-2</v>
      </c>
      <c r="C34" s="19">
        <f>E8</f>
        <v>0.40460825955682922</v>
      </c>
      <c r="D34" s="19">
        <f>E9</f>
        <v>4.1621680349297535E-3</v>
      </c>
    </row>
    <row r="35" spans="1:4" x14ac:dyDescent="0.3">
      <c r="A35" s="3">
        <v>2022</v>
      </c>
      <c r="B35" s="19">
        <f>E12</f>
        <v>4.0480773683216099E-2</v>
      </c>
      <c r="C35" s="19">
        <f>E13</f>
        <v>0.51732557005999702</v>
      </c>
      <c r="D35" s="19">
        <f>E14</f>
        <v>9.9209046502615941E-3</v>
      </c>
    </row>
    <row r="36" spans="1:4" x14ac:dyDescent="0.3">
      <c r="A36" s="3" t="s">
        <v>88</v>
      </c>
      <c r="B36" s="19">
        <f>E17</f>
        <v>5.2783442429916033E-2</v>
      </c>
      <c r="C36" s="19">
        <f>E18</f>
        <v>0.52407561983326756</v>
      </c>
      <c r="D36" s="19">
        <f>E19</f>
        <v>1.9889539951070526E-2</v>
      </c>
    </row>
  </sheetData>
  <mergeCells count="4">
    <mergeCell ref="A2:A6"/>
    <mergeCell ref="A7:A11"/>
    <mergeCell ref="A12:A16"/>
    <mergeCell ref="A17:A21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A057-99DA-47DB-9A8D-2680EEC4EF1A}">
  <dimension ref="A1:G78"/>
  <sheetViews>
    <sheetView topLeftCell="A38" zoomScale="57" workbookViewId="0">
      <selection activeCell="D59" sqref="D59"/>
    </sheetView>
  </sheetViews>
  <sheetFormatPr defaultRowHeight="14.4" x14ac:dyDescent="0.3"/>
  <cols>
    <col min="1" max="1" width="39.44140625" customWidth="1"/>
    <col min="2" max="2" width="29.6640625" customWidth="1"/>
    <col min="3" max="3" width="32" customWidth="1"/>
    <col min="4" max="4" width="34.21875" customWidth="1"/>
    <col min="5" max="5" width="20.33203125" customWidth="1"/>
    <col min="6" max="6" width="33.109375" customWidth="1"/>
    <col min="7" max="7" width="22.88671875" bestFit="1" customWidth="1"/>
  </cols>
  <sheetData>
    <row r="1" spans="1:7" x14ac:dyDescent="0.3">
      <c r="A1" s="5" t="s">
        <v>0</v>
      </c>
      <c r="B1" s="5" t="s">
        <v>89</v>
      </c>
      <c r="C1" s="5" t="s">
        <v>90</v>
      </c>
      <c r="D1" s="5" t="s">
        <v>91</v>
      </c>
      <c r="E1" s="5" t="s">
        <v>69</v>
      </c>
      <c r="F1" s="5" t="s">
        <v>97</v>
      </c>
      <c r="G1" s="5" t="s">
        <v>98</v>
      </c>
    </row>
    <row r="2" spans="1:7" x14ac:dyDescent="0.3">
      <c r="A2" t="s">
        <v>25</v>
      </c>
      <c r="B2">
        <v>23066</v>
      </c>
      <c r="C2">
        <v>14</v>
      </c>
      <c r="D2" s="14">
        <f>B2/C2</f>
        <v>1647.5714285714287</v>
      </c>
      <c r="E2" t="s">
        <v>92</v>
      </c>
      <c r="F2">
        <v>2025</v>
      </c>
      <c r="G2" s="11">
        <f>C2*1000/B2</f>
        <v>0.60695395820688458</v>
      </c>
    </row>
    <row r="3" spans="1:7" x14ac:dyDescent="0.3">
      <c r="A3" t="s">
        <v>3</v>
      </c>
      <c r="B3">
        <v>403057</v>
      </c>
      <c r="C3">
        <v>388</v>
      </c>
      <c r="D3" s="14">
        <f>B3/C3</f>
        <v>1038.8067010309278</v>
      </c>
      <c r="E3" t="s">
        <v>92</v>
      </c>
      <c r="F3">
        <v>2025</v>
      </c>
      <c r="G3" s="11">
        <f>C3*1000/B3</f>
        <v>0.9626430008658825</v>
      </c>
    </row>
    <row r="4" spans="1:7" x14ac:dyDescent="0.3">
      <c r="A4" t="s">
        <v>2</v>
      </c>
      <c r="B4">
        <v>279245</v>
      </c>
      <c r="C4">
        <v>307</v>
      </c>
      <c r="D4" s="14">
        <f>B4/C4</f>
        <v>909.59283387622145</v>
      </c>
      <c r="E4" t="s">
        <v>92</v>
      </c>
      <c r="F4">
        <v>2025</v>
      </c>
      <c r="G4" s="11">
        <f>C4*1000/B4</f>
        <v>1.0993930061415602</v>
      </c>
    </row>
    <row r="5" spans="1:7" x14ac:dyDescent="0.3">
      <c r="A5" t="s">
        <v>48</v>
      </c>
      <c r="B5">
        <v>1404448</v>
      </c>
      <c r="C5">
        <v>2099</v>
      </c>
      <c r="D5" s="14">
        <f>B5/C5</f>
        <v>669.10338256312525</v>
      </c>
      <c r="E5" t="s">
        <v>92</v>
      </c>
      <c r="F5">
        <v>2025</v>
      </c>
      <c r="G5" s="11">
        <f>C5*1000/B5</f>
        <v>1.4945373556016315</v>
      </c>
    </row>
    <row r="6" spans="1:7" x14ac:dyDescent="0.3">
      <c r="A6" t="s">
        <v>46</v>
      </c>
      <c r="B6">
        <v>34911</v>
      </c>
      <c r="C6">
        <v>53</v>
      </c>
      <c r="D6" s="14">
        <f>B6/C6</f>
        <v>658.69811320754718</v>
      </c>
      <c r="E6" t="s">
        <v>92</v>
      </c>
      <c r="F6">
        <v>2025</v>
      </c>
      <c r="G6" s="11">
        <f>C6*1000/B6</f>
        <v>1.5181461430494687</v>
      </c>
    </row>
    <row r="7" spans="1:7" x14ac:dyDescent="0.3">
      <c r="A7" t="s">
        <v>26</v>
      </c>
      <c r="B7">
        <v>158138</v>
      </c>
      <c r="C7">
        <v>290</v>
      </c>
      <c r="D7" s="14">
        <f>B7/C7</f>
        <v>545.30344827586202</v>
      </c>
      <c r="E7" t="s">
        <v>92</v>
      </c>
      <c r="F7">
        <v>2025</v>
      </c>
      <c r="G7" s="11">
        <f>C7*1000/B7</f>
        <v>1.8338413284599526</v>
      </c>
    </row>
    <row r="8" spans="1:7" x14ac:dyDescent="0.3">
      <c r="A8" t="s">
        <v>49</v>
      </c>
      <c r="B8">
        <v>91843</v>
      </c>
      <c r="C8">
        <v>201</v>
      </c>
      <c r="D8" s="14">
        <f>B8/C8</f>
        <v>456.93034825870649</v>
      </c>
      <c r="E8" t="s">
        <v>92</v>
      </c>
      <c r="F8">
        <v>2025</v>
      </c>
      <c r="G8" s="11">
        <f>C8*1000/B8</f>
        <v>2.188517361148917</v>
      </c>
    </row>
    <row r="9" spans="1:7" x14ac:dyDescent="0.3">
      <c r="A9" t="s">
        <v>41</v>
      </c>
      <c r="B9">
        <v>207155</v>
      </c>
      <c r="C9">
        <v>534</v>
      </c>
      <c r="D9" s="14">
        <f>B9/C9</f>
        <v>387.93071161048687</v>
      </c>
      <c r="E9" t="s">
        <v>92</v>
      </c>
      <c r="F9">
        <v>2025</v>
      </c>
      <c r="G9" s="11">
        <f>C9*1000/B9</f>
        <v>2.5777799232458789</v>
      </c>
    </row>
    <row r="10" spans="1:7" x14ac:dyDescent="0.3">
      <c r="A10" t="s">
        <v>35</v>
      </c>
      <c r="B10">
        <v>332223</v>
      </c>
      <c r="C10">
        <v>942</v>
      </c>
      <c r="D10" s="14">
        <f>B10/C10</f>
        <v>352.67834394904457</v>
      </c>
      <c r="E10" t="s">
        <v>92</v>
      </c>
      <c r="F10">
        <v>2025</v>
      </c>
      <c r="G10" s="11">
        <f>C10*1000/B10</f>
        <v>2.8354448668514824</v>
      </c>
    </row>
    <row r="11" spans="1:7" x14ac:dyDescent="0.3">
      <c r="A11" t="s">
        <v>31</v>
      </c>
      <c r="B11">
        <v>97106</v>
      </c>
      <c r="C11">
        <v>277</v>
      </c>
      <c r="D11" s="14">
        <f>B11/C11</f>
        <v>350.56317689530687</v>
      </c>
      <c r="E11" t="s">
        <v>92</v>
      </c>
      <c r="F11">
        <v>2025</v>
      </c>
      <c r="G11" s="11">
        <f>C11*1000/B11</f>
        <v>2.8525528803575475</v>
      </c>
    </row>
    <row r="12" spans="1:7" x14ac:dyDescent="0.3">
      <c r="A12" t="s">
        <v>42</v>
      </c>
      <c r="B12">
        <v>14147</v>
      </c>
      <c r="C12">
        <v>42</v>
      </c>
      <c r="D12" s="14">
        <f>B12/C12</f>
        <v>336.83333333333331</v>
      </c>
      <c r="E12" t="s">
        <v>92</v>
      </c>
      <c r="F12">
        <v>2025</v>
      </c>
      <c r="G12" s="11">
        <f>C12*1000/B12</f>
        <v>2.9688273132112815</v>
      </c>
    </row>
    <row r="13" spans="1:7" x14ac:dyDescent="0.3">
      <c r="A13" t="s">
        <v>44</v>
      </c>
      <c r="B13">
        <v>418618</v>
      </c>
      <c r="C13">
        <v>1265</v>
      </c>
      <c r="D13" s="14">
        <f>B13/C13</f>
        <v>330.92332015810274</v>
      </c>
      <c r="E13" t="s">
        <v>92</v>
      </c>
      <c r="F13">
        <v>2025</v>
      </c>
      <c r="G13" s="11">
        <f>C13*1000/B13</f>
        <v>3.0218480810667483</v>
      </c>
    </row>
    <row r="14" spans="1:7" x14ac:dyDescent="0.3">
      <c r="A14" t="s">
        <v>5</v>
      </c>
      <c r="B14">
        <v>315185</v>
      </c>
      <c r="C14">
        <v>1007</v>
      </c>
      <c r="D14" s="14">
        <f>B14/C14</f>
        <v>312.99404170804371</v>
      </c>
      <c r="E14" t="s">
        <v>92</v>
      </c>
      <c r="F14">
        <v>2025</v>
      </c>
      <c r="G14" s="11">
        <f>C14*1000/B14</f>
        <v>3.1949489982074022</v>
      </c>
    </row>
    <row r="15" spans="1:7" x14ac:dyDescent="0.3">
      <c r="A15" t="s">
        <v>45</v>
      </c>
      <c r="B15">
        <v>459089</v>
      </c>
      <c r="C15">
        <v>1492</v>
      </c>
      <c r="D15" s="14">
        <f>B15/C15</f>
        <v>307.70040214477211</v>
      </c>
      <c r="E15" t="s">
        <v>92</v>
      </c>
      <c r="F15">
        <v>2025</v>
      </c>
      <c r="G15" s="11">
        <f>C15*1000/B15</f>
        <v>3.2499145045949698</v>
      </c>
    </row>
    <row r="16" spans="1:7" x14ac:dyDescent="0.3">
      <c r="A16" t="s">
        <v>1</v>
      </c>
      <c r="B16">
        <v>180089</v>
      </c>
      <c r="C16">
        <v>614</v>
      </c>
      <c r="D16" s="14">
        <f>B16/C16</f>
        <v>293.3045602605863</v>
      </c>
      <c r="E16" t="s">
        <v>92</v>
      </c>
      <c r="F16">
        <v>2025</v>
      </c>
      <c r="G16" s="11">
        <f>C16*1000/B16</f>
        <v>3.4094253396931515</v>
      </c>
    </row>
    <row r="17" spans="1:7" x14ac:dyDescent="0.3">
      <c r="A17" t="s">
        <v>30</v>
      </c>
      <c r="B17">
        <v>38150</v>
      </c>
      <c r="C17">
        <v>153</v>
      </c>
      <c r="D17" s="14">
        <f>B17/C17</f>
        <v>249.34640522875816</v>
      </c>
      <c r="E17" t="s">
        <v>92</v>
      </c>
      <c r="F17">
        <v>2025</v>
      </c>
      <c r="G17" s="11">
        <f>C17*1000/B17</f>
        <v>4.0104849279161208</v>
      </c>
    </row>
    <row r="18" spans="1:7" x14ac:dyDescent="0.3">
      <c r="A18" t="s">
        <v>33</v>
      </c>
      <c r="B18">
        <v>302347</v>
      </c>
      <c r="C18">
        <v>1288</v>
      </c>
      <c r="D18" s="14">
        <f>B18/C18</f>
        <v>234.74145962732919</v>
      </c>
      <c r="E18" t="s">
        <v>92</v>
      </c>
      <c r="F18">
        <v>2025</v>
      </c>
      <c r="G18" s="11">
        <f>C18*1000/B18</f>
        <v>4.2600058872752165</v>
      </c>
    </row>
    <row r="19" spans="1:7" x14ac:dyDescent="0.3">
      <c r="A19" t="s">
        <v>27</v>
      </c>
      <c r="B19">
        <v>36009</v>
      </c>
      <c r="C19">
        <v>155</v>
      </c>
      <c r="D19" s="14">
        <f>B19/C19</f>
        <v>232.31612903225806</v>
      </c>
      <c r="E19" t="s">
        <v>92</v>
      </c>
      <c r="F19">
        <v>2025</v>
      </c>
      <c r="G19" s="11">
        <f>C19*1000/B19</f>
        <v>4.3044794356966314</v>
      </c>
    </row>
    <row r="20" spans="1:7" x14ac:dyDescent="0.3">
      <c r="A20" t="s">
        <v>4</v>
      </c>
      <c r="B20">
        <v>444202</v>
      </c>
      <c r="C20">
        <v>1951</v>
      </c>
      <c r="D20" s="14">
        <f>B20/C20</f>
        <v>227.67913890312661</v>
      </c>
      <c r="E20" t="s">
        <v>92</v>
      </c>
      <c r="F20">
        <v>2025</v>
      </c>
      <c r="G20" s="11">
        <f>C20*1000/B20</f>
        <v>4.3921459155969584</v>
      </c>
    </row>
    <row r="21" spans="1:7" x14ac:dyDescent="0.3">
      <c r="A21" t="s">
        <v>43</v>
      </c>
      <c r="B21">
        <v>133832</v>
      </c>
      <c r="C21">
        <v>595</v>
      </c>
      <c r="D21" s="14">
        <f>B21/C21</f>
        <v>224.92773109243697</v>
      </c>
      <c r="E21" t="s">
        <v>92</v>
      </c>
      <c r="F21">
        <v>2025</v>
      </c>
      <c r="G21" s="11">
        <f>C21*1000/B21</f>
        <v>4.4458724370853009</v>
      </c>
    </row>
    <row r="22" spans="1:7" x14ac:dyDescent="0.3">
      <c r="A22" t="s">
        <v>50</v>
      </c>
      <c r="B22">
        <v>176485</v>
      </c>
      <c r="C22">
        <v>785</v>
      </c>
      <c r="D22" s="14">
        <f>B22/C22</f>
        <v>224.82165605095543</v>
      </c>
      <c r="E22" t="s">
        <v>92</v>
      </c>
      <c r="F22">
        <v>2025</v>
      </c>
      <c r="G22" s="11">
        <f>C22*1000/B22</f>
        <v>4.4479700824432671</v>
      </c>
    </row>
    <row r="23" spans="1:7" x14ac:dyDescent="0.3">
      <c r="A23" t="s">
        <v>36</v>
      </c>
      <c r="B23">
        <v>830189</v>
      </c>
      <c r="C23">
        <v>3836</v>
      </c>
      <c r="D23" s="14">
        <f>B23/C23</f>
        <v>216.42049009384775</v>
      </c>
      <c r="E23" t="s">
        <v>92</v>
      </c>
      <c r="F23">
        <v>2025</v>
      </c>
      <c r="G23" s="11">
        <f>C23*1000/B23</f>
        <v>4.6206345783911855</v>
      </c>
    </row>
    <row r="24" spans="1:7" x14ac:dyDescent="0.3">
      <c r="A24" t="s">
        <v>28</v>
      </c>
      <c r="B24">
        <v>165718</v>
      </c>
      <c r="C24">
        <v>793</v>
      </c>
      <c r="D24" s="14">
        <f>B24/C24</f>
        <v>208.97604035308953</v>
      </c>
      <c r="E24" t="s">
        <v>92</v>
      </c>
      <c r="F24">
        <v>2025</v>
      </c>
      <c r="G24" s="11">
        <f>C24*1000/B24</f>
        <v>4.7852375722613116</v>
      </c>
    </row>
    <row r="25" spans="1:7" x14ac:dyDescent="0.3">
      <c r="A25" t="s">
        <v>94</v>
      </c>
      <c r="B25">
        <v>123</v>
      </c>
      <c r="C25">
        <v>1</v>
      </c>
      <c r="D25" s="14">
        <f>B25/C25</f>
        <v>123</v>
      </c>
      <c r="E25" t="s">
        <v>92</v>
      </c>
      <c r="F25">
        <v>2025</v>
      </c>
      <c r="G25" s="11">
        <f>C25*1000/B25</f>
        <v>8.1300813008130088</v>
      </c>
    </row>
    <row r="26" spans="1:7" x14ac:dyDescent="0.3">
      <c r="A26" t="s">
        <v>32</v>
      </c>
      <c r="B26">
        <v>657149</v>
      </c>
      <c r="C26">
        <v>5871</v>
      </c>
      <c r="D26" s="14">
        <f>B26/C26</f>
        <v>111.93135752001362</v>
      </c>
      <c r="E26" t="s">
        <v>92</v>
      </c>
      <c r="F26">
        <v>2025</v>
      </c>
      <c r="G26" s="11">
        <f>C26*1000/B26</f>
        <v>8.9340469208657396</v>
      </c>
    </row>
    <row r="27" spans="1:7" x14ac:dyDescent="0.3">
      <c r="A27" t="s">
        <v>39</v>
      </c>
      <c r="B27">
        <v>1414</v>
      </c>
      <c r="C27">
        <v>13</v>
      </c>
      <c r="D27" s="14">
        <f>B27/C27</f>
        <v>108.76923076923077</v>
      </c>
      <c r="E27" t="s">
        <v>92</v>
      </c>
      <c r="F27">
        <v>2025</v>
      </c>
      <c r="G27" s="11">
        <f>C27*1000/B27</f>
        <v>9.1937765205091946</v>
      </c>
    </row>
    <row r="28" spans="1:7" x14ac:dyDescent="0.3">
      <c r="A28" t="s">
        <v>23</v>
      </c>
      <c r="B28">
        <v>416</v>
      </c>
      <c r="C28">
        <v>4</v>
      </c>
      <c r="D28" s="14">
        <f>B28/C28</f>
        <v>104</v>
      </c>
      <c r="E28" t="s">
        <v>92</v>
      </c>
      <c r="F28">
        <v>2025</v>
      </c>
      <c r="G28" s="11">
        <f>C28*1000/B28</f>
        <v>9.615384615384615</v>
      </c>
    </row>
    <row r="29" spans="1:7" x14ac:dyDescent="0.3">
      <c r="A29" t="s">
        <v>34</v>
      </c>
      <c r="B29">
        <v>99</v>
      </c>
      <c r="C29">
        <v>1</v>
      </c>
      <c r="D29" s="14">
        <f>B29/C29</f>
        <v>99</v>
      </c>
      <c r="E29" t="s">
        <v>92</v>
      </c>
      <c r="F29">
        <v>2025</v>
      </c>
      <c r="G29" s="11">
        <f>C29*1000/B29</f>
        <v>10.1010101010101</v>
      </c>
    </row>
    <row r="30" spans="1:7" x14ac:dyDescent="0.3">
      <c r="A30" t="s">
        <v>96</v>
      </c>
      <c r="B30">
        <v>72806</v>
      </c>
      <c r="C30">
        <v>976</v>
      </c>
      <c r="D30" s="14">
        <f>B30/C30</f>
        <v>74.596311475409834</v>
      </c>
      <c r="E30" t="s">
        <v>92</v>
      </c>
      <c r="F30">
        <v>2025</v>
      </c>
      <c r="G30" s="11">
        <f>C30*1000/B30</f>
        <v>13.405488558635277</v>
      </c>
    </row>
    <row r="31" spans="1:7" x14ac:dyDescent="0.3">
      <c r="A31" t="s">
        <v>29</v>
      </c>
      <c r="B31">
        <v>6853</v>
      </c>
      <c r="C31">
        <v>112</v>
      </c>
      <c r="D31" s="14">
        <f>B31/C31</f>
        <v>61.1875</v>
      </c>
      <c r="E31" t="s">
        <v>92</v>
      </c>
      <c r="F31">
        <v>2025</v>
      </c>
      <c r="G31" s="11">
        <f>C31*1000/B31</f>
        <v>16.343207354443308</v>
      </c>
    </row>
    <row r="32" spans="1:7" x14ac:dyDescent="0.3">
      <c r="A32" t="s">
        <v>37</v>
      </c>
      <c r="B32">
        <v>2495</v>
      </c>
      <c r="C32">
        <v>50</v>
      </c>
      <c r="D32" s="14">
        <f>B32/C32</f>
        <v>49.9</v>
      </c>
      <c r="E32" t="s">
        <v>92</v>
      </c>
      <c r="F32">
        <v>2025</v>
      </c>
      <c r="G32" s="11">
        <f>C32*1000/B32</f>
        <v>20.040080160320642</v>
      </c>
    </row>
    <row r="33" spans="1:7" x14ac:dyDescent="0.3">
      <c r="A33" t="s">
        <v>38</v>
      </c>
      <c r="B33">
        <v>1719</v>
      </c>
      <c r="C33">
        <v>43</v>
      </c>
      <c r="D33" s="14">
        <f>B33/C33</f>
        <v>39.97674418604651</v>
      </c>
      <c r="E33" t="s">
        <v>92</v>
      </c>
      <c r="F33">
        <v>2025</v>
      </c>
      <c r="G33" s="11">
        <f>C33*1000/B33</f>
        <v>25.01454333915067</v>
      </c>
    </row>
    <row r="34" spans="1:7" x14ac:dyDescent="0.3">
      <c r="A34" t="s">
        <v>24</v>
      </c>
      <c r="B34">
        <v>317</v>
      </c>
      <c r="C34">
        <v>42</v>
      </c>
      <c r="D34" s="14">
        <f>B34/C34</f>
        <v>7.5476190476190474</v>
      </c>
      <c r="E34" t="s">
        <v>92</v>
      </c>
      <c r="F34">
        <v>2025</v>
      </c>
      <c r="G34" s="11">
        <f>C34*1000/B34</f>
        <v>132.49211356466876</v>
      </c>
    </row>
    <row r="35" spans="1:7" x14ac:dyDescent="0.3">
      <c r="A35" t="s">
        <v>40</v>
      </c>
      <c r="B35">
        <v>171</v>
      </c>
      <c r="C35">
        <v>36</v>
      </c>
      <c r="D35" s="14">
        <f>B35/C35</f>
        <v>4.75</v>
      </c>
      <c r="E35" t="s">
        <v>92</v>
      </c>
      <c r="F35">
        <v>2025</v>
      </c>
      <c r="G35" s="11">
        <f>C35*1000/B35</f>
        <v>210.52631578947367</v>
      </c>
    </row>
    <row r="36" spans="1:7" x14ac:dyDescent="0.3">
      <c r="A36" t="s">
        <v>95</v>
      </c>
      <c r="B36">
        <v>49</v>
      </c>
      <c r="C36">
        <v>11</v>
      </c>
      <c r="D36" s="14">
        <f>B36/C36</f>
        <v>4.4545454545454541</v>
      </c>
      <c r="E36" t="s">
        <v>92</v>
      </c>
      <c r="F36">
        <v>2025</v>
      </c>
      <c r="G36" s="11">
        <f>C36*1000/B36</f>
        <v>224.48979591836735</v>
      </c>
    </row>
    <row r="37" spans="1:7" x14ac:dyDescent="0.3">
      <c r="A37" t="s">
        <v>93</v>
      </c>
      <c r="B37">
        <v>1363</v>
      </c>
      <c r="D37" s="14"/>
      <c r="E37" t="s">
        <v>92</v>
      </c>
      <c r="F37">
        <v>2025</v>
      </c>
      <c r="G37" s="11">
        <f>C37*1000/B37</f>
        <v>0</v>
      </c>
    </row>
    <row r="40" spans="1:7" x14ac:dyDescent="0.3">
      <c r="A40" t="s">
        <v>99</v>
      </c>
    </row>
    <row r="42" spans="1:7" x14ac:dyDescent="0.3">
      <c r="A42" s="5" t="s">
        <v>0</v>
      </c>
      <c r="B42" s="5" t="s">
        <v>89</v>
      </c>
      <c r="C42" s="5" t="s">
        <v>90</v>
      </c>
      <c r="D42" s="5" t="s">
        <v>91</v>
      </c>
      <c r="E42" s="5" t="s">
        <v>101</v>
      </c>
      <c r="F42" s="5" t="s">
        <v>100</v>
      </c>
    </row>
    <row r="43" spans="1:7" x14ac:dyDescent="0.3">
      <c r="A43" t="s">
        <v>23</v>
      </c>
      <c r="B43">
        <v>416</v>
      </c>
      <c r="C43">
        <v>4</v>
      </c>
      <c r="D43" s="14">
        <f>B43/C43</f>
        <v>104</v>
      </c>
      <c r="E43" t="str">
        <f>IF(B43&gt;=100000,"High EV Market","Low EV Market")</f>
        <v>Low EV Market</v>
      </c>
      <c r="F43" t="str">
        <f>IF(D43&gt;=500,"High Pressure","Low Pressure")</f>
        <v>Low Pressure</v>
      </c>
    </row>
    <row r="44" spans="1:7" x14ac:dyDescent="0.3">
      <c r="A44" t="s">
        <v>1</v>
      </c>
      <c r="B44">
        <v>180089</v>
      </c>
      <c r="C44">
        <v>614</v>
      </c>
      <c r="D44" s="14">
        <f t="shared" ref="D44:D78" si="0">B44/C44</f>
        <v>293.3045602605863</v>
      </c>
      <c r="E44" t="str">
        <f t="shared" ref="E44:E78" si="1">IF(B44&gt;=100000,"High EV Market","Low EV Market")</f>
        <v>High EV Market</v>
      </c>
      <c r="F44" t="str">
        <f t="shared" ref="F44:F78" si="2">IF(D44&gt;=500,"High Pressure","Low Pressure")</f>
        <v>Low Pressure</v>
      </c>
    </row>
    <row r="45" spans="1:7" x14ac:dyDescent="0.3">
      <c r="A45" t="s">
        <v>24</v>
      </c>
      <c r="B45">
        <v>317</v>
      </c>
      <c r="C45">
        <v>42</v>
      </c>
      <c r="D45" s="14">
        <f t="shared" si="0"/>
        <v>7.5476190476190474</v>
      </c>
      <c r="E45" t="str">
        <f t="shared" si="1"/>
        <v>Low EV Market</v>
      </c>
      <c r="F45" t="str">
        <f t="shared" si="2"/>
        <v>Low Pressure</v>
      </c>
    </row>
    <row r="46" spans="1:7" x14ac:dyDescent="0.3">
      <c r="A46" t="s">
        <v>2</v>
      </c>
      <c r="B46">
        <v>279245</v>
      </c>
      <c r="C46">
        <v>307</v>
      </c>
      <c r="D46" s="14">
        <f t="shared" si="0"/>
        <v>909.59283387622145</v>
      </c>
      <c r="E46" t="str">
        <f t="shared" si="1"/>
        <v>High EV Market</v>
      </c>
      <c r="F46" t="str">
        <f t="shared" si="2"/>
        <v>High Pressure</v>
      </c>
    </row>
    <row r="47" spans="1:7" x14ac:dyDescent="0.3">
      <c r="A47" t="s">
        <v>3</v>
      </c>
      <c r="B47">
        <v>403057</v>
      </c>
      <c r="C47">
        <v>388</v>
      </c>
      <c r="D47" s="14">
        <f t="shared" si="0"/>
        <v>1038.8067010309278</v>
      </c>
      <c r="E47" t="str">
        <f t="shared" si="1"/>
        <v>High EV Market</v>
      </c>
      <c r="F47" t="str">
        <f t="shared" si="2"/>
        <v>High Pressure</v>
      </c>
    </row>
    <row r="48" spans="1:7" x14ac:dyDescent="0.3">
      <c r="A48" t="s">
        <v>25</v>
      </c>
      <c r="B48">
        <v>23066</v>
      </c>
      <c r="C48">
        <v>14</v>
      </c>
      <c r="D48" s="14">
        <f t="shared" si="0"/>
        <v>1647.5714285714287</v>
      </c>
      <c r="E48" t="str">
        <f t="shared" si="1"/>
        <v>Low EV Market</v>
      </c>
      <c r="F48" t="str">
        <f t="shared" si="2"/>
        <v>High Pressure</v>
      </c>
    </row>
    <row r="49" spans="1:6" x14ac:dyDescent="0.3">
      <c r="A49" t="s">
        <v>26</v>
      </c>
      <c r="B49">
        <v>158138</v>
      </c>
      <c r="C49">
        <v>290</v>
      </c>
      <c r="D49" s="14">
        <f t="shared" si="0"/>
        <v>545.30344827586202</v>
      </c>
      <c r="E49" t="str">
        <f t="shared" si="1"/>
        <v>High EV Market</v>
      </c>
      <c r="F49" t="str">
        <f t="shared" si="2"/>
        <v>High Pressure</v>
      </c>
    </row>
    <row r="50" spans="1:6" x14ac:dyDescent="0.3">
      <c r="A50" t="s">
        <v>93</v>
      </c>
      <c r="B50">
        <v>1363</v>
      </c>
      <c r="D50" s="14"/>
      <c r="E50" t="str">
        <f t="shared" si="1"/>
        <v>Low EV Market</v>
      </c>
      <c r="F50" t="str">
        <f t="shared" si="2"/>
        <v>Low Pressure</v>
      </c>
    </row>
    <row r="51" spans="1:6" x14ac:dyDescent="0.3">
      <c r="A51" t="s">
        <v>4</v>
      </c>
      <c r="B51">
        <v>444202</v>
      </c>
      <c r="C51">
        <v>1951</v>
      </c>
      <c r="D51" s="14">
        <f t="shared" si="0"/>
        <v>227.67913890312661</v>
      </c>
      <c r="E51" t="str">
        <f t="shared" si="1"/>
        <v>High EV Market</v>
      </c>
      <c r="F51" t="str">
        <f t="shared" si="2"/>
        <v>Low Pressure</v>
      </c>
    </row>
    <row r="52" spans="1:6" x14ac:dyDescent="0.3">
      <c r="A52" t="s">
        <v>27</v>
      </c>
      <c r="B52">
        <v>36009</v>
      </c>
      <c r="C52">
        <v>155</v>
      </c>
      <c r="D52" s="14">
        <f t="shared" si="0"/>
        <v>232.31612903225806</v>
      </c>
      <c r="E52" t="str">
        <f t="shared" si="1"/>
        <v>Low EV Market</v>
      </c>
      <c r="F52" t="str">
        <f t="shared" si="2"/>
        <v>Low Pressure</v>
      </c>
    </row>
    <row r="53" spans="1:6" x14ac:dyDescent="0.3">
      <c r="A53" t="s">
        <v>5</v>
      </c>
      <c r="B53">
        <v>315185</v>
      </c>
      <c r="C53">
        <v>1007</v>
      </c>
      <c r="D53" s="14">
        <f t="shared" si="0"/>
        <v>312.99404170804371</v>
      </c>
      <c r="E53" t="str">
        <f t="shared" si="1"/>
        <v>High EV Market</v>
      </c>
      <c r="F53" t="str">
        <f t="shared" si="2"/>
        <v>Low Pressure</v>
      </c>
    </row>
    <row r="54" spans="1:6" x14ac:dyDescent="0.3">
      <c r="A54" t="s">
        <v>28</v>
      </c>
      <c r="B54">
        <v>165718</v>
      </c>
      <c r="C54">
        <v>793</v>
      </c>
      <c r="D54" s="14">
        <f t="shared" si="0"/>
        <v>208.97604035308953</v>
      </c>
      <c r="E54" t="str">
        <f t="shared" si="1"/>
        <v>High EV Market</v>
      </c>
      <c r="F54" t="str">
        <f t="shared" si="2"/>
        <v>Low Pressure</v>
      </c>
    </row>
    <row r="55" spans="1:6" x14ac:dyDescent="0.3">
      <c r="A55" t="s">
        <v>29</v>
      </c>
      <c r="B55">
        <v>6853</v>
      </c>
      <c r="C55">
        <v>112</v>
      </c>
      <c r="D55" s="14">
        <f t="shared" si="0"/>
        <v>61.1875</v>
      </c>
      <c r="E55" t="str">
        <f t="shared" si="1"/>
        <v>Low EV Market</v>
      </c>
      <c r="F55" t="str">
        <f t="shared" si="2"/>
        <v>Low Pressure</v>
      </c>
    </row>
    <row r="56" spans="1:6" x14ac:dyDescent="0.3">
      <c r="A56" t="s">
        <v>30</v>
      </c>
      <c r="B56">
        <v>38150</v>
      </c>
      <c r="C56">
        <v>153</v>
      </c>
      <c r="D56" s="14">
        <f t="shared" si="0"/>
        <v>249.34640522875816</v>
      </c>
      <c r="E56" t="str">
        <f t="shared" si="1"/>
        <v>Low EV Market</v>
      </c>
      <c r="F56" t="str">
        <f t="shared" si="2"/>
        <v>Low Pressure</v>
      </c>
    </row>
    <row r="57" spans="1:6" x14ac:dyDescent="0.3">
      <c r="A57" t="s">
        <v>31</v>
      </c>
      <c r="B57">
        <v>97106</v>
      </c>
      <c r="C57">
        <v>277</v>
      </c>
      <c r="D57" s="14">
        <f t="shared" si="0"/>
        <v>350.56317689530687</v>
      </c>
      <c r="E57" t="str">
        <f t="shared" si="1"/>
        <v>Low EV Market</v>
      </c>
      <c r="F57" t="str">
        <f t="shared" si="2"/>
        <v>Low Pressure</v>
      </c>
    </row>
    <row r="58" spans="1:6" x14ac:dyDescent="0.3">
      <c r="A58" t="s">
        <v>32</v>
      </c>
      <c r="B58">
        <v>657149</v>
      </c>
      <c r="C58">
        <v>5871</v>
      </c>
      <c r="D58" s="14">
        <f>_xlfn.CEILING.MATH(B58/C58)</f>
        <v>112</v>
      </c>
      <c r="E58" t="str">
        <f t="shared" si="1"/>
        <v>High EV Market</v>
      </c>
      <c r="F58" t="str">
        <f t="shared" si="2"/>
        <v>Low Pressure</v>
      </c>
    </row>
    <row r="59" spans="1:6" x14ac:dyDescent="0.3">
      <c r="A59" t="s">
        <v>33</v>
      </c>
      <c r="B59">
        <v>302347</v>
      </c>
      <c r="C59">
        <v>1288</v>
      </c>
      <c r="D59" s="14">
        <f t="shared" si="0"/>
        <v>234.74145962732919</v>
      </c>
      <c r="E59" t="str">
        <f t="shared" si="1"/>
        <v>High EV Market</v>
      </c>
      <c r="F59" t="str">
        <f t="shared" si="2"/>
        <v>Low Pressure</v>
      </c>
    </row>
    <row r="60" spans="1:6" x14ac:dyDescent="0.3">
      <c r="A60" t="s">
        <v>34</v>
      </c>
      <c r="B60">
        <v>99</v>
      </c>
      <c r="C60">
        <v>1</v>
      </c>
      <c r="D60" s="14">
        <f t="shared" si="0"/>
        <v>99</v>
      </c>
      <c r="E60" t="str">
        <f t="shared" si="1"/>
        <v>Low EV Market</v>
      </c>
      <c r="F60" t="str">
        <f t="shared" si="2"/>
        <v>Low Pressure</v>
      </c>
    </row>
    <row r="61" spans="1:6" x14ac:dyDescent="0.3">
      <c r="A61" t="s">
        <v>94</v>
      </c>
      <c r="B61">
        <v>123</v>
      </c>
      <c r="C61">
        <v>1</v>
      </c>
      <c r="D61" s="14">
        <f t="shared" si="0"/>
        <v>123</v>
      </c>
      <c r="E61" t="str">
        <f t="shared" si="1"/>
        <v>Low EV Market</v>
      </c>
      <c r="F61" t="str">
        <f t="shared" si="2"/>
        <v>Low Pressure</v>
      </c>
    </row>
    <row r="62" spans="1:6" x14ac:dyDescent="0.3">
      <c r="A62" t="s">
        <v>35</v>
      </c>
      <c r="B62">
        <v>332223</v>
      </c>
      <c r="C62">
        <v>942</v>
      </c>
      <c r="D62" s="14">
        <f t="shared" si="0"/>
        <v>352.67834394904457</v>
      </c>
      <c r="E62" t="str">
        <f t="shared" si="1"/>
        <v>High EV Market</v>
      </c>
      <c r="F62" t="str">
        <f t="shared" si="2"/>
        <v>Low Pressure</v>
      </c>
    </row>
    <row r="63" spans="1:6" x14ac:dyDescent="0.3">
      <c r="A63" t="s">
        <v>36</v>
      </c>
      <c r="B63">
        <v>830189</v>
      </c>
      <c r="C63">
        <v>3836</v>
      </c>
      <c r="D63" s="14">
        <f t="shared" si="0"/>
        <v>216.42049009384775</v>
      </c>
      <c r="E63" t="str">
        <f t="shared" si="1"/>
        <v>High EV Market</v>
      </c>
      <c r="F63" t="str">
        <f t="shared" si="2"/>
        <v>Low Pressure</v>
      </c>
    </row>
    <row r="64" spans="1:6" x14ac:dyDescent="0.3">
      <c r="A64" t="s">
        <v>37</v>
      </c>
      <c r="B64">
        <v>2495</v>
      </c>
      <c r="C64">
        <v>50</v>
      </c>
      <c r="D64" s="14">
        <f t="shared" si="0"/>
        <v>49.9</v>
      </c>
      <c r="E64" t="str">
        <f t="shared" si="1"/>
        <v>Low EV Market</v>
      </c>
      <c r="F64" t="str">
        <f t="shared" si="2"/>
        <v>Low Pressure</v>
      </c>
    </row>
    <row r="65" spans="1:6" x14ac:dyDescent="0.3">
      <c r="A65" t="s">
        <v>38</v>
      </c>
      <c r="B65">
        <v>1719</v>
      </c>
      <c r="C65">
        <v>43</v>
      </c>
      <c r="D65" s="14">
        <f t="shared" si="0"/>
        <v>39.97674418604651</v>
      </c>
      <c r="E65" t="str">
        <f t="shared" si="1"/>
        <v>Low EV Market</v>
      </c>
      <c r="F65" t="str">
        <f t="shared" si="2"/>
        <v>Low Pressure</v>
      </c>
    </row>
    <row r="66" spans="1:6" x14ac:dyDescent="0.3">
      <c r="A66" t="s">
        <v>39</v>
      </c>
      <c r="B66">
        <v>1414</v>
      </c>
      <c r="C66">
        <v>13</v>
      </c>
      <c r="D66" s="14">
        <f t="shared" si="0"/>
        <v>108.76923076923077</v>
      </c>
      <c r="E66" t="str">
        <f t="shared" si="1"/>
        <v>Low EV Market</v>
      </c>
      <c r="F66" t="str">
        <f t="shared" si="2"/>
        <v>Low Pressure</v>
      </c>
    </row>
    <row r="67" spans="1:6" x14ac:dyDescent="0.3">
      <c r="A67" t="s">
        <v>40</v>
      </c>
      <c r="B67">
        <v>171</v>
      </c>
      <c r="C67">
        <v>36</v>
      </c>
      <c r="D67" s="14">
        <f t="shared" si="0"/>
        <v>4.75</v>
      </c>
      <c r="E67" t="str">
        <f t="shared" si="1"/>
        <v>Low EV Market</v>
      </c>
      <c r="F67" t="str">
        <f t="shared" si="2"/>
        <v>Low Pressure</v>
      </c>
    </row>
    <row r="68" spans="1:6" x14ac:dyDescent="0.3">
      <c r="A68" t="s">
        <v>41</v>
      </c>
      <c r="B68">
        <v>207155</v>
      </c>
      <c r="C68">
        <v>534</v>
      </c>
      <c r="D68" s="14">
        <f t="shared" si="0"/>
        <v>387.93071161048687</v>
      </c>
      <c r="E68" t="str">
        <f t="shared" si="1"/>
        <v>High EV Market</v>
      </c>
      <c r="F68" t="str">
        <f t="shared" si="2"/>
        <v>Low Pressure</v>
      </c>
    </row>
    <row r="69" spans="1:6" x14ac:dyDescent="0.3">
      <c r="A69" t="s">
        <v>42</v>
      </c>
      <c r="B69">
        <v>14147</v>
      </c>
      <c r="C69">
        <v>42</v>
      </c>
      <c r="D69" s="14">
        <f t="shared" si="0"/>
        <v>336.83333333333331</v>
      </c>
      <c r="E69" t="str">
        <f t="shared" si="1"/>
        <v>Low EV Market</v>
      </c>
      <c r="F69" t="str">
        <f t="shared" si="2"/>
        <v>Low Pressure</v>
      </c>
    </row>
    <row r="70" spans="1:6" x14ac:dyDescent="0.3">
      <c r="A70" t="s">
        <v>43</v>
      </c>
      <c r="B70">
        <v>133832</v>
      </c>
      <c r="C70">
        <v>595</v>
      </c>
      <c r="D70" s="14">
        <f t="shared" si="0"/>
        <v>224.92773109243697</v>
      </c>
      <c r="E70" t="str">
        <f t="shared" si="1"/>
        <v>High EV Market</v>
      </c>
      <c r="F70" t="str">
        <f t="shared" si="2"/>
        <v>Low Pressure</v>
      </c>
    </row>
    <row r="71" spans="1:6" x14ac:dyDescent="0.3">
      <c r="A71" t="s">
        <v>44</v>
      </c>
      <c r="B71">
        <v>418618</v>
      </c>
      <c r="C71">
        <v>1265</v>
      </c>
      <c r="D71" s="14">
        <f t="shared" si="0"/>
        <v>330.92332015810274</v>
      </c>
      <c r="E71" t="str">
        <f t="shared" si="1"/>
        <v>High EV Market</v>
      </c>
      <c r="F71" t="str">
        <f t="shared" si="2"/>
        <v>Low Pressure</v>
      </c>
    </row>
    <row r="72" spans="1:6" x14ac:dyDescent="0.3">
      <c r="A72" t="s">
        <v>95</v>
      </c>
      <c r="B72">
        <v>49</v>
      </c>
      <c r="C72">
        <v>11</v>
      </c>
      <c r="D72" s="14">
        <f t="shared" si="0"/>
        <v>4.4545454545454541</v>
      </c>
      <c r="E72" t="str">
        <f t="shared" si="1"/>
        <v>Low EV Market</v>
      </c>
      <c r="F72" t="str">
        <f t="shared" si="2"/>
        <v>Low Pressure</v>
      </c>
    </row>
    <row r="73" spans="1:6" x14ac:dyDescent="0.3">
      <c r="A73" t="s">
        <v>45</v>
      </c>
      <c r="B73">
        <v>459089</v>
      </c>
      <c r="C73">
        <v>1492</v>
      </c>
      <c r="D73" s="14">
        <f t="shared" si="0"/>
        <v>307.70040214477211</v>
      </c>
      <c r="E73" t="str">
        <f t="shared" si="1"/>
        <v>High EV Market</v>
      </c>
      <c r="F73" t="str">
        <f t="shared" si="2"/>
        <v>Low Pressure</v>
      </c>
    </row>
    <row r="74" spans="1:6" x14ac:dyDescent="0.3">
      <c r="A74" t="s">
        <v>96</v>
      </c>
      <c r="B74">
        <v>72806</v>
      </c>
      <c r="C74">
        <v>976</v>
      </c>
      <c r="D74" s="14">
        <f t="shared" si="0"/>
        <v>74.596311475409834</v>
      </c>
      <c r="E74" t="str">
        <f t="shared" si="1"/>
        <v>Low EV Market</v>
      </c>
      <c r="F74" t="str">
        <f t="shared" si="2"/>
        <v>Low Pressure</v>
      </c>
    </row>
    <row r="75" spans="1:6" x14ac:dyDescent="0.3">
      <c r="A75" t="s">
        <v>46</v>
      </c>
      <c r="B75">
        <v>34911</v>
      </c>
      <c r="C75">
        <v>53</v>
      </c>
      <c r="D75" s="14">
        <f t="shared" si="0"/>
        <v>658.69811320754718</v>
      </c>
      <c r="E75" t="str">
        <f t="shared" si="1"/>
        <v>Low EV Market</v>
      </c>
      <c r="F75" t="str">
        <f t="shared" si="2"/>
        <v>High Pressure</v>
      </c>
    </row>
    <row r="76" spans="1:6" x14ac:dyDescent="0.3">
      <c r="A76" t="s">
        <v>48</v>
      </c>
      <c r="B76">
        <v>1404448</v>
      </c>
      <c r="C76">
        <v>2099</v>
      </c>
      <c r="D76" s="14">
        <f t="shared" si="0"/>
        <v>669.10338256312525</v>
      </c>
      <c r="E76" t="str">
        <f t="shared" si="1"/>
        <v>High EV Market</v>
      </c>
      <c r="F76" t="str">
        <f t="shared" si="2"/>
        <v>High Pressure</v>
      </c>
    </row>
    <row r="77" spans="1:6" x14ac:dyDescent="0.3">
      <c r="A77" t="s">
        <v>49</v>
      </c>
      <c r="B77">
        <v>91843</v>
      </c>
      <c r="C77">
        <v>201</v>
      </c>
      <c r="D77" s="14">
        <f t="shared" si="0"/>
        <v>456.93034825870649</v>
      </c>
      <c r="E77" t="str">
        <f t="shared" si="1"/>
        <v>Low EV Market</v>
      </c>
      <c r="F77" t="str">
        <f t="shared" si="2"/>
        <v>Low Pressure</v>
      </c>
    </row>
    <row r="78" spans="1:6" x14ac:dyDescent="0.3">
      <c r="A78" t="s">
        <v>50</v>
      </c>
      <c r="B78">
        <v>176485</v>
      </c>
      <c r="C78">
        <v>785</v>
      </c>
      <c r="D78" s="14">
        <f t="shared" si="0"/>
        <v>224.82165605095543</v>
      </c>
      <c r="E78" t="str">
        <f t="shared" si="1"/>
        <v>High EV Market</v>
      </c>
      <c r="F78" t="str">
        <f t="shared" si="2"/>
        <v>Low Pressure</v>
      </c>
    </row>
  </sheetData>
  <sortState xmlns:xlrd2="http://schemas.microsoft.com/office/spreadsheetml/2017/richdata2" ref="A2:G37">
    <sortCondition descending="1" ref="D1:D3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270D-76DA-4028-9577-A84D5B772A76}">
  <dimension ref="A1:L25"/>
  <sheetViews>
    <sheetView zoomScale="79" workbookViewId="0">
      <selection activeCell="L2" sqref="L2"/>
    </sheetView>
  </sheetViews>
  <sheetFormatPr defaultRowHeight="14.4" x14ac:dyDescent="0.3"/>
  <cols>
    <col min="3" max="3" width="16.6640625" customWidth="1"/>
    <col min="4" max="4" width="20.44140625" customWidth="1"/>
    <col min="5" max="5" width="21.6640625" customWidth="1"/>
    <col min="6" max="6" width="23" customWidth="1"/>
    <col min="7" max="7" width="22.109375" customWidth="1"/>
    <col min="8" max="8" width="17.77734375" customWidth="1"/>
    <col min="9" max="9" width="21.6640625" customWidth="1"/>
    <col min="10" max="10" width="22.21875" customWidth="1"/>
    <col min="11" max="11" width="21.21875" customWidth="1"/>
    <col min="12" max="12" width="15.5546875" customWidth="1"/>
  </cols>
  <sheetData>
    <row r="1" spans="1:12" ht="28.8" x14ac:dyDescent="0.3">
      <c r="A1" s="23" t="s">
        <v>0</v>
      </c>
      <c r="B1" s="24" t="s">
        <v>89</v>
      </c>
      <c r="C1" s="24" t="s">
        <v>102</v>
      </c>
      <c r="D1" s="24" t="s">
        <v>103</v>
      </c>
      <c r="E1" s="23" t="s">
        <v>104</v>
      </c>
      <c r="F1" s="24" t="s">
        <v>105</v>
      </c>
      <c r="G1" s="24" t="s">
        <v>106</v>
      </c>
      <c r="H1" s="24" t="s">
        <v>107</v>
      </c>
      <c r="I1" s="23" t="s">
        <v>104</v>
      </c>
      <c r="J1" s="24" t="s">
        <v>105</v>
      </c>
      <c r="K1" s="24" t="s">
        <v>106</v>
      </c>
      <c r="L1" s="24" t="s">
        <v>107</v>
      </c>
    </row>
    <row r="2" spans="1:12" ht="28.8" x14ac:dyDescent="0.3">
      <c r="A2" s="3" t="s">
        <v>48</v>
      </c>
      <c r="B2" s="18">
        <f>Charging_Stations!B76</f>
        <v>1404448</v>
      </c>
      <c r="C2" s="18">
        <f>Charging_Stations!C76</f>
        <v>2099</v>
      </c>
      <c r="D2" s="22">
        <f>B2/C2</f>
        <v>669.10338256312525</v>
      </c>
      <c r="E2" t="s">
        <v>36</v>
      </c>
      <c r="F2" s="22">
        <f>Charging_Stations!D63</f>
        <v>216.42049009384775</v>
      </c>
      <c r="G2" s="22">
        <f>B2/F2</f>
        <v>6489.4409923523444</v>
      </c>
      <c r="H2" s="22">
        <f>G2-C2</f>
        <v>4390.4409923523444</v>
      </c>
      <c r="I2" t="s">
        <v>118</v>
      </c>
      <c r="J2" s="14">
        <f>Charging_Stations!D58</f>
        <v>112</v>
      </c>
      <c r="K2" s="14">
        <f>B2/J2</f>
        <v>12539.714285714286</v>
      </c>
      <c r="L2" s="14">
        <f>K2-D2</f>
        <v>11870.610903151161</v>
      </c>
    </row>
    <row r="3" spans="1:12" x14ac:dyDescent="0.3">
      <c r="A3" s="3" t="s">
        <v>3</v>
      </c>
      <c r="B3" s="18">
        <f>Charging_Stations!B47</f>
        <v>403057</v>
      </c>
      <c r="C3" s="18">
        <f>Charging_Stations!C47</f>
        <v>388</v>
      </c>
      <c r="D3" s="22">
        <f t="shared" ref="D3:D4" si="0">B3/C3</f>
        <v>1038.8067010309278</v>
      </c>
      <c r="E3" t="s">
        <v>36</v>
      </c>
      <c r="F3" s="22">
        <f>Charging_Stations!D63</f>
        <v>216.42049009384775</v>
      </c>
      <c r="G3" s="22">
        <f t="shared" ref="G3:G4" si="1">B3/F3</f>
        <v>1862.3791112626161</v>
      </c>
      <c r="H3" s="22">
        <f>G3-C3</f>
        <v>1474.3791112626161</v>
      </c>
      <c r="I3" t="s">
        <v>118</v>
      </c>
      <c r="J3" s="14">
        <f>Charging_Stations!D58</f>
        <v>112</v>
      </c>
      <c r="K3" s="14">
        <f>B3/J3</f>
        <v>3598.7232142857142</v>
      </c>
      <c r="L3" s="14">
        <f t="shared" ref="L3:L4" si="2">K3-D3</f>
        <v>2559.9165132547864</v>
      </c>
    </row>
    <row r="4" spans="1:12" x14ac:dyDescent="0.3">
      <c r="A4" s="3" t="s">
        <v>2</v>
      </c>
      <c r="B4" s="18">
        <f>Charging_Stations!B46</f>
        <v>279245</v>
      </c>
      <c r="C4" s="18">
        <f>Charging_Stations!C46</f>
        <v>307</v>
      </c>
      <c r="D4" s="22">
        <f t="shared" si="0"/>
        <v>909.59283387622145</v>
      </c>
      <c r="E4" t="s">
        <v>36</v>
      </c>
      <c r="F4" s="22">
        <f>Charging_Stations!D63</f>
        <v>216.42049009384775</v>
      </c>
      <c r="G4" s="22">
        <f t="shared" si="1"/>
        <v>1290.2891028428467</v>
      </c>
      <c r="H4" s="22">
        <f>G4-C4</f>
        <v>983.28910284284666</v>
      </c>
      <c r="I4" t="s">
        <v>118</v>
      </c>
      <c r="J4" s="14">
        <f>Charging_Stations!D58</f>
        <v>112</v>
      </c>
      <c r="K4" s="14">
        <f t="shared" ref="K3:K4" si="3">B4/J4</f>
        <v>2493.2589285714284</v>
      </c>
      <c r="L4" s="14">
        <f t="shared" si="2"/>
        <v>1583.666094695207</v>
      </c>
    </row>
    <row r="7" spans="1:12" ht="18" x14ac:dyDescent="0.3">
      <c r="A7" s="20" t="s">
        <v>108</v>
      </c>
    </row>
    <row r="9" spans="1:12" x14ac:dyDescent="0.3">
      <c r="A9" s="21" t="s">
        <v>109</v>
      </c>
    </row>
    <row r="11" spans="1:12" ht="18" x14ac:dyDescent="0.3">
      <c r="A11" s="20" t="s">
        <v>110</v>
      </c>
    </row>
    <row r="13" spans="1:12" x14ac:dyDescent="0.3">
      <c r="A13" s="21" t="s">
        <v>111</v>
      </c>
    </row>
    <row r="15" spans="1:12" ht="18" x14ac:dyDescent="0.3">
      <c r="A15" s="20" t="s">
        <v>112</v>
      </c>
    </row>
    <row r="17" spans="1:1" x14ac:dyDescent="0.3">
      <c r="A17" s="21" t="s">
        <v>113</v>
      </c>
    </row>
    <row r="19" spans="1:1" ht="18" x14ac:dyDescent="0.3">
      <c r="A19" s="20" t="s">
        <v>114</v>
      </c>
    </row>
    <row r="21" spans="1:1" x14ac:dyDescent="0.3">
      <c r="A21" s="21" t="s">
        <v>115</v>
      </c>
    </row>
    <row r="23" spans="1:1" ht="18" x14ac:dyDescent="0.3">
      <c r="A23" s="20" t="s">
        <v>116</v>
      </c>
    </row>
    <row r="25" spans="1:1" x14ac:dyDescent="0.3">
      <c r="A25" s="21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4C6-95E6-42C3-9F0E-58339BAF1EC1}">
  <dimension ref="A1:F7"/>
  <sheetViews>
    <sheetView zoomScale="67" workbookViewId="0">
      <selection activeCell="F1" sqref="F1:F7"/>
    </sheetView>
  </sheetViews>
  <sheetFormatPr defaultRowHeight="14.4" x14ac:dyDescent="0.3"/>
  <cols>
    <col min="1" max="1" width="23.6640625" customWidth="1"/>
    <col min="2" max="2" width="26.5546875" customWidth="1"/>
    <col min="3" max="4" width="21.21875" customWidth="1"/>
    <col min="5" max="5" width="29" customWidth="1"/>
    <col min="6" max="6" width="22.77734375" customWidth="1"/>
  </cols>
  <sheetData>
    <row r="1" spans="1:6" x14ac:dyDescent="0.3">
      <c r="A1" s="25" t="s">
        <v>0</v>
      </c>
      <c r="B1" s="25" t="s">
        <v>119</v>
      </c>
      <c r="C1" s="26" t="s">
        <v>123</v>
      </c>
      <c r="D1" s="26" t="s">
        <v>125</v>
      </c>
      <c r="E1" s="26" t="s">
        <v>126</v>
      </c>
      <c r="F1" s="26" t="s">
        <v>120</v>
      </c>
    </row>
    <row r="2" spans="1:6" x14ac:dyDescent="0.3">
      <c r="A2" s="3" t="s">
        <v>48</v>
      </c>
      <c r="B2" s="3" t="s">
        <v>36</v>
      </c>
      <c r="C2" s="4">
        <v>4390</v>
      </c>
      <c r="D2" s="18" t="s">
        <v>124</v>
      </c>
      <c r="E2" s="18" t="s">
        <v>127</v>
      </c>
      <c r="F2" s="24" t="s">
        <v>128</v>
      </c>
    </row>
    <row r="3" spans="1:6" x14ac:dyDescent="0.3">
      <c r="A3" s="3" t="s">
        <v>48</v>
      </c>
      <c r="B3" s="3" t="s">
        <v>32</v>
      </c>
      <c r="C3" s="4">
        <v>11871</v>
      </c>
      <c r="D3" s="18" t="s">
        <v>124</v>
      </c>
      <c r="E3" s="18" t="s">
        <v>127</v>
      </c>
      <c r="F3" s="24" t="s">
        <v>129</v>
      </c>
    </row>
    <row r="4" spans="1:6" x14ac:dyDescent="0.3">
      <c r="A4" s="3" t="s">
        <v>3</v>
      </c>
      <c r="B4" s="3" t="s">
        <v>36</v>
      </c>
      <c r="C4" s="4">
        <v>1474</v>
      </c>
      <c r="D4" s="18" t="s">
        <v>124</v>
      </c>
      <c r="E4" s="18" t="s">
        <v>127</v>
      </c>
      <c r="F4" s="24" t="s">
        <v>130</v>
      </c>
    </row>
    <row r="5" spans="1:6" x14ac:dyDescent="0.3">
      <c r="A5" s="3" t="s">
        <v>3</v>
      </c>
      <c r="B5" s="3" t="s">
        <v>32</v>
      </c>
      <c r="C5" s="4">
        <v>2560</v>
      </c>
      <c r="D5" s="18" t="s">
        <v>124</v>
      </c>
      <c r="E5" s="18" t="s">
        <v>127</v>
      </c>
      <c r="F5" s="24" t="s">
        <v>131</v>
      </c>
    </row>
    <row r="6" spans="1:6" x14ac:dyDescent="0.3">
      <c r="A6" s="3" t="s">
        <v>2</v>
      </c>
      <c r="B6" s="3" t="s">
        <v>36</v>
      </c>
      <c r="C6" s="18">
        <v>983</v>
      </c>
      <c r="D6" s="18" t="s">
        <v>124</v>
      </c>
      <c r="E6" s="18" t="s">
        <v>127</v>
      </c>
      <c r="F6" s="24" t="s">
        <v>132</v>
      </c>
    </row>
    <row r="7" spans="1:6" x14ac:dyDescent="0.3">
      <c r="A7" s="3" t="s">
        <v>2</v>
      </c>
      <c r="B7" s="3" t="s">
        <v>32</v>
      </c>
      <c r="C7" s="4">
        <v>1584</v>
      </c>
      <c r="D7" s="18" t="s">
        <v>124</v>
      </c>
      <c r="E7" s="18" t="s">
        <v>127</v>
      </c>
      <c r="F7" s="2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4285-3D93-4F20-94F5-A8289B537E6C}">
  <dimension ref="A1:J20"/>
  <sheetViews>
    <sheetView tabSelected="1" workbookViewId="0">
      <selection activeCell="H14" sqref="H14"/>
    </sheetView>
  </sheetViews>
  <sheetFormatPr defaultRowHeight="14.4" x14ac:dyDescent="0.3"/>
  <cols>
    <col min="1" max="1" width="16.44140625" customWidth="1"/>
    <col min="2" max="2" width="24.21875" customWidth="1"/>
    <col min="3" max="3" width="24.5546875" customWidth="1"/>
    <col min="4" max="4" width="14.21875" customWidth="1"/>
    <col min="5" max="5" width="17.6640625" customWidth="1"/>
    <col min="6" max="6" width="14.109375" customWidth="1"/>
    <col min="7" max="7" width="15.77734375" customWidth="1"/>
    <col min="9" max="9" width="16.21875" customWidth="1"/>
    <col min="10" max="10" width="15.21875" customWidth="1"/>
  </cols>
  <sheetData>
    <row r="1" spans="1:10" x14ac:dyDescent="0.3">
      <c r="A1" t="s">
        <v>139</v>
      </c>
    </row>
    <row r="6" spans="1:10" ht="28.8" x14ac:dyDescent="0.3">
      <c r="A6" s="25" t="s">
        <v>0</v>
      </c>
      <c r="B6" s="25" t="s">
        <v>119</v>
      </c>
      <c r="C6" s="26" t="s">
        <v>107</v>
      </c>
      <c r="D6" s="26" t="s">
        <v>134</v>
      </c>
      <c r="E6" s="26" t="s">
        <v>135</v>
      </c>
      <c r="F6" s="26" t="s">
        <v>136</v>
      </c>
      <c r="G6" s="26" t="s">
        <v>137</v>
      </c>
      <c r="H6" s="26" t="s">
        <v>138</v>
      </c>
      <c r="I6" s="26" t="s">
        <v>120</v>
      </c>
      <c r="J6" s="26" t="s">
        <v>140</v>
      </c>
    </row>
    <row r="7" spans="1:10" ht="39" customHeight="1" x14ac:dyDescent="0.3">
      <c r="A7" s="17" t="s">
        <v>48</v>
      </c>
      <c r="B7" s="17" t="s">
        <v>121</v>
      </c>
      <c r="C7" s="27">
        <v>4390</v>
      </c>
      <c r="D7">
        <v>8</v>
      </c>
      <c r="E7">
        <v>10</v>
      </c>
      <c r="F7">
        <v>15</v>
      </c>
      <c r="G7">
        <f>C7*D7*E7*F7*365</f>
        <v>1922820000</v>
      </c>
      <c r="H7">
        <f>G7/10000000</f>
        <v>192.28200000000001</v>
      </c>
      <c r="I7" s="24" t="s">
        <v>128</v>
      </c>
      <c r="J7" s="30" t="s">
        <v>142</v>
      </c>
    </row>
    <row r="8" spans="1:10" ht="28.8" customHeight="1" x14ac:dyDescent="0.3">
      <c r="A8" s="17" t="s">
        <v>48</v>
      </c>
      <c r="B8" s="17" t="s">
        <v>122</v>
      </c>
      <c r="C8" s="27">
        <v>11871</v>
      </c>
      <c r="D8">
        <v>8</v>
      </c>
      <c r="E8">
        <v>10</v>
      </c>
      <c r="F8">
        <v>15</v>
      </c>
      <c r="G8">
        <f t="shared" ref="G8:G12" si="0">C8*D8*E8*F8*365</f>
        <v>5199498000</v>
      </c>
      <c r="H8">
        <f t="shared" ref="H8:H12" si="1">G8/10000000</f>
        <v>519.94979999999998</v>
      </c>
      <c r="I8" s="24" t="s">
        <v>129</v>
      </c>
      <c r="J8" s="30" t="s">
        <v>143</v>
      </c>
    </row>
    <row r="9" spans="1:10" ht="28.8" x14ac:dyDescent="0.3">
      <c r="A9" s="17" t="s">
        <v>3</v>
      </c>
      <c r="B9" s="17" t="s">
        <v>121</v>
      </c>
      <c r="C9" s="27">
        <v>1474</v>
      </c>
      <c r="D9">
        <v>8</v>
      </c>
      <c r="E9">
        <v>10</v>
      </c>
      <c r="F9">
        <v>15</v>
      </c>
      <c r="G9">
        <f t="shared" si="0"/>
        <v>645612000</v>
      </c>
      <c r="H9">
        <f t="shared" si="1"/>
        <v>64.561199999999999</v>
      </c>
      <c r="I9" s="24" t="s">
        <v>130</v>
      </c>
      <c r="J9" s="30" t="s">
        <v>144</v>
      </c>
    </row>
    <row r="10" spans="1:10" ht="28.8" x14ac:dyDescent="0.3">
      <c r="A10" s="17" t="s">
        <v>3</v>
      </c>
      <c r="B10" s="17" t="s">
        <v>122</v>
      </c>
      <c r="C10" s="27">
        <v>2560</v>
      </c>
      <c r="D10">
        <v>8</v>
      </c>
      <c r="E10">
        <v>10</v>
      </c>
      <c r="F10">
        <v>15</v>
      </c>
      <c r="G10">
        <f t="shared" si="0"/>
        <v>1121280000</v>
      </c>
      <c r="H10">
        <f t="shared" si="1"/>
        <v>112.128</v>
      </c>
      <c r="I10" s="24" t="s">
        <v>131</v>
      </c>
      <c r="J10" s="30" t="s">
        <v>145</v>
      </c>
    </row>
    <row r="11" spans="1:10" ht="28.8" x14ac:dyDescent="0.3">
      <c r="A11" s="17" t="s">
        <v>2</v>
      </c>
      <c r="B11" s="17" t="s">
        <v>121</v>
      </c>
      <c r="C11" s="17">
        <v>983</v>
      </c>
      <c r="D11">
        <v>8</v>
      </c>
      <c r="E11">
        <v>10</v>
      </c>
      <c r="F11" s="17">
        <v>15</v>
      </c>
      <c r="G11">
        <f t="shared" si="0"/>
        <v>430554000</v>
      </c>
      <c r="H11">
        <f t="shared" si="1"/>
        <v>43.055399999999999</v>
      </c>
      <c r="I11" s="24" t="s">
        <v>132</v>
      </c>
      <c r="J11" s="30" t="s">
        <v>146</v>
      </c>
    </row>
    <row r="12" spans="1:10" ht="28.8" x14ac:dyDescent="0.3">
      <c r="A12" s="17" t="s">
        <v>2</v>
      </c>
      <c r="B12" s="17" t="s">
        <v>122</v>
      </c>
      <c r="C12" s="27">
        <v>1584</v>
      </c>
      <c r="D12">
        <v>8</v>
      </c>
      <c r="E12">
        <v>10</v>
      </c>
      <c r="F12">
        <v>15</v>
      </c>
      <c r="G12">
        <f t="shared" si="0"/>
        <v>693792000</v>
      </c>
      <c r="H12">
        <f t="shared" si="1"/>
        <v>69.379199999999997</v>
      </c>
      <c r="I12" s="24" t="s">
        <v>133</v>
      </c>
      <c r="J12" s="30" t="s">
        <v>147</v>
      </c>
    </row>
    <row r="13" spans="1:10" x14ac:dyDescent="0.3">
      <c r="A13" s="28"/>
      <c r="B13" s="28"/>
      <c r="C13" s="28"/>
    </row>
    <row r="14" spans="1:10" x14ac:dyDescent="0.3">
      <c r="A14" s="29" t="s">
        <v>141</v>
      </c>
      <c r="B14" s="29"/>
      <c r="C14" s="28"/>
    </row>
    <row r="17" customFormat="1" x14ac:dyDescent="0.3"/>
    <row r="18" customFormat="1" x14ac:dyDescent="0.3"/>
    <row r="19" customFormat="1" x14ac:dyDescent="0.3"/>
    <row r="20" customFormat="1" x14ac:dyDescent="0.3"/>
  </sheetData>
  <mergeCells count="1">
    <mergeCell ref="A14:B1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4396-D200-4B1E-A37F-124052B4CD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C4C5-81B6-44AE-9522-BD2280640884}">
  <dimension ref="A1:G23"/>
  <sheetViews>
    <sheetView zoomScale="49" workbookViewId="0">
      <selection activeCell="F32" sqref="F32"/>
    </sheetView>
  </sheetViews>
  <sheetFormatPr defaultRowHeight="14.4" x14ac:dyDescent="0.3"/>
  <cols>
    <col min="1" max="1" width="17.6640625" customWidth="1"/>
    <col min="2" max="2" width="25.109375" customWidth="1"/>
    <col min="3" max="3" width="18" customWidth="1"/>
  </cols>
  <sheetData>
    <row r="1" spans="1:7" ht="43.2" x14ac:dyDescent="0.3">
      <c r="A1" s="1" t="s">
        <v>53</v>
      </c>
      <c r="B1" s="1" t="s">
        <v>54</v>
      </c>
      <c r="C1" s="1" t="s">
        <v>55</v>
      </c>
    </row>
    <row r="2" spans="1:7" x14ac:dyDescent="0.3">
      <c r="A2">
        <v>2020</v>
      </c>
      <c r="B2">
        <f>EV_Registrations!B59</f>
        <v>124681</v>
      </c>
    </row>
    <row r="3" spans="1:7" x14ac:dyDescent="0.3">
      <c r="A3">
        <v>2021</v>
      </c>
      <c r="B3">
        <f>EV_Registrations!C59</f>
        <v>331635</v>
      </c>
      <c r="C3" s="11">
        <f>((B3-B2)/B2)*100</f>
        <v>165.98679830928529</v>
      </c>
    </row>
    <row r="4" spans="1:7" x14ac:dyDescent="0.3">
      <c r="A4">
        <v>2022</v>
      </c>
      <c r="B4">
        <f>EV_Registrations!D59</f>
        <v>1025118</v>
      </c>
      <c r="C4" s="11">
        <f t="shared" ref="C4:C5" si="0">((B4-B3)/B3)*100</f>
        <v>209.11031706544847</v>
      </c>
    </row>
    <row r="5" spans="1:7" x14ac:dyDescent="0.3">
      <c r="A5" t="s">
        <v>56</v>
      </c>
      <c r="B5">
        <f>EV_Registrations!E59</f>
        <v>1395701</v>
      </c>
      <c r="C5" s="11">
        <f t="shared" si="0"/>
        <v>36.150277333926432</v>
      </c>
    </row>
    <row r="7" spans="1:7" x14ac:dyDescent="0.3">
      <c r="A7" t="s">
        <v>57</v>
      </c>
    </row>
    <row r="8" spans="1:7" x14ac:dyDescent="0.3">
      <c r="A8" s="5" t="s">
        <v>0</v>
      </c>
      <c r="B8" s="5">
        <v>2020</v>
      </c>
      <c r="C8" s="5">
        <v>2021</v>
      </c>
      <c r="D8" s="5">
        <v>2022</v>
      </c>
      <c r="E8" s="5" t="s">
        <v>21</v>
      </c>
      <c r="F8" s="5" t="s">
        <v>22</v>
      </c>
      <c r="G8" s="5" t="s">
        <v>58</v>
      </c>
    </row>
    <row r="9" spans="1:7" x14ac:dyDescent="0.3">
      <c r="A9" t="s">
        <v>48</v>
      </c>
      <c r="B9">
        <v>31268</v>
      </c>
      <c r="C9">
        <v>66705</v>
      </c>
      <c r="D9">
        <v>162862</v>
      </c>
      <c r="E9" s="10">
        <v>249223</v>
      </c>
      <c r="F9">
        <f t="shared" ref="F9:F18" si="1">SUM(B9:E9)</f>
        <v>510058</v>
      </c>
      <c r="G9">
        <f>(Historical_Analysis!F9/EV_Registrations!F59)*100</f>
        <v>17.727982871849949</v>
      </c>
    </row>
    <row r="10" spans="1:7" x14ac:dyDescent="0.3">
      <c r="A10" t="s">
        <v>36</v>
      </c>
      <c r="B10">
        <v>7134</v>
      </c>
      <c r="C10">
        <v>29914</v>
      </c>
      <c r="D10">
        <v>136051</v>
      </c>
      <c r="E10" s="10">
        <v>178488</v>
      </c>
      <c r="F10">
        <f t="shared" si="1"/>
        <v>351587</v>
      </c>
      <c r="G10">
        <f>(Historical_Analysis!F10/EV_Registrations!F59)*100</f>
        <v>12.220038336748189</v>
      </c>
    </row>
    <row r="11" spans="1:7" x14ac:dyDescent="0.3">
      <c r="A11" t="s">
        <v>32</v>
      </c>
      <c r="B11">
        <v>9707</v>
      </c>
      <c r="C11">
        <v>33307</v>
      </c>
      <c r="D11">
        <v>95900</v>
      </c>
      <c r="E11" s="10">
        <v>141057</v>
      </c>
      <c r="F11">
        <f t="shared" si="1"/>
        <v>279971</v>
      </c>
      <c r="G11">
        <f>(Historical_Analysis!F11/EV_Registrations!F59)*100</f>
        <v>9.7308954915219488</v>
      </c>
    </row>
    <row r="12" spans="1:7" x14ac:dyDescent="0.3">
      <c r="A12" t="s">
        <v>44</v>
      </c>
      <c r="B12">
        <v>5604</v>
      </c>
      <c r="C12">
        <v>23464</v>
      </c>
      <c r="D12">
        <v>78238</v>
      </c>
      <c r="E12" s="10">
        <v>86376</v>
      </c>
      <c r="F12">
        <f t="shared" si="1"/>
        <v>193682</v>
      </c>
      <c r="G12">
        <f>(Historical_Analysis!F12/EV_Registrations!F59)*100</f>
        <v>6.7317661493117287</v>
      </c>
    </row>
    <row r="13" spans="1:7" x14ac:dyDescent="0.3">
      <c r="A13" t="s">
        <v>45</v>
      </c>
      <c r="B13">
        <v>5697</v>
      </c>
      <c r="C13">
        <v>30030</v>
      </c>
      <c r="D13">
        <v>66953</v>
      </c>
      <c r="E13" s="10">
        <v>84252</v>
      </c>
      <c r="F13">
        <f t="shared" si="1"/>
        <v>186932</v>
      </c>
      <c r="G13">
        <f>(Historical_Analysis!F13/EV_Registrations!F59)*100</f>
        <v>6.4971577628439396</v>
      </c>
    </row>
    <row r="14" spans="1:7" x14ac:dyDescent="0.3">
      <c r="A14" t="s">
        <v>3</v>
      </c>
      <c r="B14">
        <v>12447</v>
      </c>
      <c r="C14">
        <v>23082</v>
      </c>
      <c r="D14">
        <v>55751</v>
      </c>
      <c r="E14" s="10">
        <v>79469</v>
      </c>
      <c r="F14">
        <f t="shared" si="1"/>
        <v>170749</v>
      </c>
      <c r="G14">
        <f>(Historical_Analysis!F14/EV_Registrations!F59)*100</f>
        <v>5.9346885008871668</v>
      </c>
    </row>
    <row r="15" spans="1:7" x14ac:dyDescent="0.3">
      <c r="A15" t="s">
        <v>4</v>
      </c>
      <c r="B15">
        <v>12377</v>
      </c>
      <c r="C15">
        <v>25816</v>
      </c>
      <c r="D15">
        <v>62256</v>
      </c>
      <c r="E15" s="10">
        <v>64382</v>
      </c>
      <c r="F15">
        <f t="shared" si="1"/>
        <v>164831</v>
      </c>
      <c r="G15">
        <f>(Historical_Analysis!F15/EV_Registrations!F59)*100</f>
        <v>5.728997770351409</v>
      </c>
    </row>
    <row r="16" spans="1:7" x14ac:dyDescent="0.3">
      <c r="A16" t="s">
        <v>5</v>
      </c>
      <c r="B16">
        <v>1120</v>
      </c>
      <c r="C16">
        <v>9765</v>
      </c>
      <c r="D16">
        <v>68998</v>
      </c>
      <c r="E16" s="10">
        <v>83965</v>
      </c>
      <c r="F16">
        <f t="shared" si="1"/>
        <v>163848</v>
      </c>
      <c r="G16">
        <f>(Historical_Analysis!F16/EV_Registrations!F59)*100</f>
        <v>5.6948318379220995</v>
      </c>
    </row>
    <row r="17" spans="1:7" x14ac:dyDescent="0.3">
      <c r="A17" t="s">
        <v>2</v>
      </c>
      <c r="B17">
        <v>8357</v>
      </c>
      <c r="C17">
        <v>15634</v>
      </c>
      <c r="D17">
        <v>40719</v>
      </c>
      <c r="E17" s="10">
        <v>56448</v>
      </c>
      <c r="F17">
        <f t="shared" si="1"/>
        <v>121158</v>
      </c>
      <c r="G17">
        <f>(Historical_Analysis!F17/EV_Registrations!F59)*100</f>
        <v>4.2110641315058208</v>
      </c>
    </row>
    <row r="18" spans="1:7" x14ac:dyDescent="0.3">
      <c r="A18" t="s">
        <v>33</v>
      </c>
      <c r="B18">
        <v>1362</v>
      </c>
      <c r="C18">
        <v>8743</v>
      </c>
      <c r="D18">
        <v>39622</v>
      </c>
      <c r="E18" s="10">
        <v>69624</v>
      </c>
      <c r="F18">
        <f t="shared" si="1"/>
        <v>119351</v>
      </c>
      <c r="G18">
        <f>(Historical_Analysis!F18/EV_Registrations!F59)*100</f>
        <v>4.1482585975284438</v>
      </c>
    </row>
    <row r="21" spans="1:7" ht="18" x14ac:dyDescent="0.3">
      <c r="A21" s="12" t="s">
        <v>60</v>
      </c>
      <c r="B21" s="12"/>
    </row>
    <row r="22" spans="1:7" x14ac:dyDescent="0.3">
      <c r="A22" t="s">
        <v>61</v>
      </c>
    </row>
    <row r="23" spans="1:7" x14ac:dyDescent="0.3">
      <c r="A23" t="s">
        <v>59</v>
      </c>
    </row>
  </sheetData>
  <mergeCells count="1">
    <mergeCell ref="A21:B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EV_Registrations</vt:lpstr>
      <vt:lpstr>SIAM_Total_Sales</vt:lpstr>
      <vt:lpstr>ev_segment_data</vt:lpstr>
      <vt:lpstr>Charging_Stations</vt:lpstr>
      <vt:lpstr>Opportunity_model</vt:lpstr>
      <vt:lpstr>capex_model</vt:lpstr>
      <vt:lpstr>revenue_model</vt:lpstr>
      <vt:lpstr>Clean_Data</vt:lpstr>
      <vt:lpstr>Historical_Analysis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Praneeth Reddy</dc:creator>
  <cp:lastModifiedBy>Raja Praneeth Reddy</cp:lastModifiedBy>
  <dcterms:created xsi:type="dcterms:W3CDTF">2026-08-15T02:22:44Z</dcterms:created>
  <dcterms:modified xsi:type="dcterms:W3CDTF">2026-08-15T06:57:33Z</dcterms:modified>
</cp:coreProperties>
</file>